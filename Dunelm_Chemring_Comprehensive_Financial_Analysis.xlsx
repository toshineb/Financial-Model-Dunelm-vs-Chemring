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COVER" sheetId="1" state="visible" r:id="rId3"/>
    <sheet name="Dunelm_Data" sheetId="2" state="visible" r:id="rId4"/>
    <sheet name="Chemring_Data" sheetId="3" state="visible" r:id="rId5"/>
    <sheet name="1_FSA" sheetId="4" state="visible" r:id="rId6"/>
    <sheet name="2_Profitability" sheetId="5" state="visible" r:id="rId7"/>
    <sheet name="3_Efficiency" sheetId="6" state="visible" r:id="rId8"/>
    <sheet name="4_Liquidity" sheetId="7" state="visible" r:id="rId9"/>
    <sheet name="5_Solvency_Risk" sheetId="8" state="visible" r:id="rId10"/>
    <sheet name="6_Market_Investmen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<sst xmlns="http://schemas.openxmlformats.org/spreadsheetml/2006/main" count="747" uniqueCount="496">
  <si>
    <t xml:space="preserve">COMPREHENSIVE FINANCIAL ANALYSIS REPORT</t>
  </si>
  <si>
    <t xml:space="preserve">Dunelm Group PLC (FY2019–FY2024)  vs  Chemring Group PLC (FY2020–FY2025)</t>
  </si>
  <si>
    <t xml:space="preserve">All values in £m unless stated otherwise  |  Prepared using openpyxl  |  Formula-driven model</t>
  </si>
  <si>
    <t xml:space="preserve">Sheet</t>
  </si>
  <si>
    <t xml:space="preserve">Contents</t>
  </si>
  <si>
    <t xml:space="preserve">Coverage – Dunelm</t>
  </si>
  <si>
    <t xml:space="preserve">Coverage – Chemring</t>
  </si>
  <si>
    <t xml:space="preserve">Dunelm_Data</t>
  </si>
  <si>
    <t xml:space="preserve">Source financial statements – Dunelm</t>
  </si>
  <si>
    <t xml:space="preserve">IS, BS, CF, Supplementary</t>
  </si>
  <si>
    <t xml:space="preserve">—</t>
  </si>
  <si>
    <t xml:space="preserve">Chemring_Data</t>
  </si>
  <si>
    <t xml:space="preserve">Source financial statements – Chemring</t>
  </si>
  <si>
    <t xml:space="preserve">1_FSA</t>
  </si>
  <si>
    <t xml:space="preserve">1. Financial Statement Analysis</t>
  </si>
  <si>
    <t xml:space="preserve">Revenue, GP, EBIT, PAT, EPS, DPS, Assets, Equity, Debt trends</t>
  </si>
  <si>
    <t xml:space="preserve">Same metrics</t>
  </si>
  <si>
    <t xml:space="preserve">2_Profitability</t>
  </si>
  <si>
    <t xml:space="preserve">2. Profitability Analysis</t>
  </si>
  <si>
    <t xml:space="preserve">Margins, EBITDA, ROE, ROCE, ROA, Cash conversion</t>
  </si>
  <si>
    <t xml:space="preserve">3_Efficiency</t>
  </si>
  <si>
    <t xml:space="preserve">3. Efficiency Analysis</t>
  </si>
  <si>
    <t xml:space="preserve">Asset turnover, Inv days, DSO, DPO, CCC, NWC</t>
  </si>
  <si>
    <t xml:space="preserve">4_Liquidity</t>
  </si>
  <si>
    <t xml:space="preserve">4. Liquidity Analysis</t>
  </si>
  <si>
    <t xml:space="preserve">Current/quick/cash ratios, WC, FCF/Div cover</t>
  </si>
  <si>
    <t xml:space="preserve">5_Solvency_Risk</t>
  </si>
  <si>
    <t xml:space="preserve">5. Solvency &amp; Risk Analysis</t>
  </si>
  <si>
    <t xml:space="preserve">Gearing, leverage, interest cover, DSCR, capex intensity</t>
  </si>
  <si>
    <t xml:space="preserve">6_Market_Investment</t>
  </si>
  <si>
    <t xml:space="preserve">6. Market &amp; Investment Analysis</t>
  </si>
  <si>
    <t xml:space="preserve">P/E, P/B, EV/EBITDA, Div yield, TSR, FCF yield</t>
  </si>
  <si>
    <t xml:space="preserve">  KEY METRICS AT A GLANCE  (most recent year: Dunelm FY2024 | Chemring FY2025)</t>
  </si>
  <si>
    <t xml:space="preserve">Metric</t>
  </si>
  <si>
    <t xml:space="preserve">Dunelm FY2024</t>
  </si>
  <si>
    <t xml:space="preserve">Chemring FY2025</t>
  </si>
  <si>
    <t xml:space="preserve">Commentary</t>
  </si>
  <si>
    <t xml:space="preserve">Revenue</t>
  </si>
  <si>
    <t xml:space="preserve">£1,706.5m</t>
  </si>
  <si>
    <t xml:space="preserve">£497.5m</t>
  </si>
  <si>
    <t xml:space="preserve">Dunelm 3.4x larger; different sectors (retail vs defence)</t>
  </si>
  <si>
    <t xml:space="preserve">Operating Profit</t>
  </si>
  <si>
    <t xml:space="preserve">£213.3m</t>
  </si>
  <si>
    <t xml:space="preserve">£73.4m</t>
  </si>
  <si>
    <t xml:space="preserve">Chemring EBIT margin 14.8% – highest in period</t>
  </si>
  <si>
    <t xml:space="preserve">Profit After Tax</t>
  </si>
  <si>
    <t xml:space="preserve">£151.2m</t>
  </si>
  <si>
    <t xml:space="preserve">£48.2m</t>
  </si>
  <si>
    <t xml:space="preserve">Chemring FY23 PAT distorted by disc. ops</t>
  </si>
  <si>
    <t xml:space="preserve">EPS Basic</t>
  </si>
  <si>
    <t xml:space="preserve">74.7p</t>
  </si>
  <si>
    <t xml:space="preserve">19.7p</t>
  </si>
  <si>
    <t xml:space="preserve">Both near/at multi-year highs</t>
  </si>
  <si>
    <t xml:space="preserve">EBIT Margin</t>
  </si>
  <si>
    <t xml:space="preserve">12.5%</t>
  </si>
  <si>
    <t xml:space="preserve">14.8%</t>
  </si>
  <si>
    <t xml:space="preserve">Chemring margin convergence; both improving</t>
  </si>
  <si>
    <t xml:space="preserve">ROCE (approx.)</t>
  </si>
  <si>
    <t xml:space="preserve">~36%</t>
  </si>
  <si>
    <t xml:space="preserve">~12%</t>
  </si>
  <si>
    <t xml:space="preserve">Dunelm capital-light; Chemring asset-intensive</t>
  </si>
  <si>
    <t xml:space="preserve">Net Debt (ex-leases)</t>
  </si>
  <si>
    <t xml:space="preserve">£53.6m</t>
  </si>
  <si>
    <t xml:space="preserve">£93.9m</t>
  </si>
  <si>
    <t xml:space="preserve">Both modest; Chemring rising with investment</t>
  </si>
  <si>
    <t xml:space="preserve">Interest Cover</t>
  </si>
  <si>
    <t xml:space="preserve">21.5x</t>
  </si>
  <si>
    <t xml:space="preserve">12.9x</t>
  </si>
  <si>
    <t xml:space="preserve">Excellent for both companies</t>
  </si>
  <si>
    <t xml:space="preserve">Current Ratio</t>
  </si>
  <si>
    <t xml:space="preserve">~1.0x</t>
  </si>
  <si>
    <t xml:space="preserve">~1.6x</t>
  </si>
  <si>
    <t xml:space="preserve">Dunelm low but retail model supports; Chemring solid</t>
  </si>
  <si>
    <t xml:space="preserve">DPS</t>
  </si>
  <si>
    <t xml:space="preserve">77.8p</t>
  </si>
  <si>
    <t xml:space="preserve">7.9p</t>
  </si>
  <si>
    <t xml:space="preserve">Chemring progressive; Dunelm volatile (specials)</t>
  </si>
  <si>
    <t xml:space="preserve">Operating Cash Flow</t>
  </si>
  <si>
    <t xml:space="preserve">£232.3m</t>
  </si>
  <si>
    <t xml:space="preserve">£91.1m</t>
  </si>
  <si>
    <t xml:space="preserve">Both generate strong operational cash</t>
  </si>
  <si>
    <t xml:space="preserve">  COLOUR KEY &amp; FORMULA CONVENTION</t>
  </si>
  <si>
    <t xml:space="preserve">Blue text</t>
  </si>
  <si>
    <t xml:space="preserve">Hardcoded input values from source financial statements</t>
  </si>
  <si>
    <t xml:space="preserve">Black text</t>
  </si>
  <si>
    <t xml:space="preserve">Excel formula — calculated from referenced cells</t>
  </si>
  <si>
    <t xml:space="preserve">Red-tinted background</t>
  </si>
  <si>
    <t xml:space="preserve">Dunelm data columns in analysis sheets</t>
  </si>
  <si>
    <t xml:space="preserve">Green-tinted background</t>
  </si>
  <si>
    <t xml:space="preserve">Chemring data columns in analysis sheets</t>
  </si>
  <si>
    <t xml:space="preserve">Yellow background</t>
  </si>
  <si>
    <t xml:space="preserve">Formula logic column — shows calculation methodology</t>
  </si>
  <si>
    <t xml:space="preserve">Dark navy header</t>
  </si>
  <si>
    <t xml:space="preserve">Section/category header row</t>
  </si>
  <si>
    <t xml:space="preserve">Formula column (B)</t>
  </si>
  <si>
    <t xml:space="preserve">Contains written description of each formula for transparency and audit</t>
  </si>
  <si>
    <t xml:space="preserve">DUNELM GROUP PLC — SOURCE DATA</t>
  </si>
  <si>
    <t xml:space="preserve">Income Statement, Balance Sheet &amp; Cash Flow | 2019–2024 | Values in £m except EPS (pence)</t>
  </si>
  <si>
    <t xml:space="preserve">Line Item</t>
  </si>
  <si>
    <t xml:space="preserve">Unit</t>
  </si>
  <si>
    <t xml:space="preserve">  INCOME STATEMENT</t>
  </si>
  <si>
    <t xml:space="preserve">   Revenue</t>
  </si>
  <si>
    <t xml:space="preserve">£m</t>
  </si>
  <si>
    <t xml:space="preserve">   Cost of Sales</t>
  </si>
  <si>
    <t xml:space="preserve">   Gross Profit</t>
  </si>
  <si>
    <t xml:space="preserve">   Operating Costs</t>
  </si>
  <si>
    <t xml:space="preserve">   Operating Profit</t>
  </si>
  <si>
    <t xml:space="preserve">   Financial Income</t>
  </si>
  <si>
    <t xml:space="preserve">   Financial Expenses</t>
  </si>
  <si>
    <t xml:space="preserve">   Profit Before Tax</t>
  </si>
  <si>
    <t xml:space="preserve">   Taxation</t>
  </si>
  <si>
    <t xml:space="preserve">   Profit After Tax</t>
  </si>
  <si>
    <t xml:space="preserve">   EPS Basic (p)</t>
  </si>
  <si>
    <t xml:space="preserve">p</t>
  </si>
  <si>
    <t xml:space="preserve">   EPS Diluted (p)</t>
  </si>
  <si>
    <t xml:space="preserve">  BALANCE SHEET</t>
  </si>
  <si>
    <t xml:space="preserve">   Total Non-Current Assets</t>
  </si>
  <si>
    <t xml:space="preserve">     of which: Inventories</t>
  </si>
  <si>
    <t xml:space="preserve">     of which: PPE</t>
  </si>
  <si>
    <t xml:space="preserve">     of which: Right-of-Use</t>
  </si>
  <si>
    <t xml:space="preserve">   Total Current Assets</t>
  </si>
  <si>
    <t xml:space="preserve">     of which: Trade Receivables</t>
  </si>
  <si>
    <t xml:space="preserve">     of which: Cash</t>
  </si>
  <si>
    <t xml:space="preserve">   Total Assets</t>
  </si>
  <si>
    <t xml:space="preserve">   Total Current Liabilities</t>
  </si>
  <si>
    <t xml:space="preserve">     of which: Trade Payables</t>
  </si>
  <si>
    <t xml:space="preserve">     of which: Lease Liab. (C)</t>
  </si>
  <si>
    <t xml:space="preserve">   Total Non-Current Liabilities</t>
  </si>
  <si>
    <t xml:space="preserve">     of which: Bank Loans</t>
  </si>
  <si>
    <t xml:space="preserve">     of which: Lease Liab. (NC)</t>
  </si>
  <si>
    <t xml:space="preserve">   Total Liabilities</t>
  </si>
  <si>
    <t xml:space="preserve">   Total Equity (Net Assets)</t>
  </si>
  <si>
    <t xml:space="preserve">     of which: Retained Earnings</t>
  </si>
  <si>
    <t xml:space="preserve">  CASH FLOW STATEMENT</t>
  </si>
  <si>
    <t xml:space="preserve">   Net Cash from Operations</t>
  </si>
  <si>
    <t xml:space="preserve">   D&amp;A (PPE + Intangibles)</t>
  </si>
  <si>
    <t xml:space="preserve">   D of Right-of-Use Assets</t>
  </si>
  <si>
    <t xml:space="preserve">   Capital Expenditure (PPE)</t>
  </si>
  <si>
    <t xml:space="preserve">   Acquisition of Intangibles</t>
  </si>
  <si>
    <t xml:space="preserve">   Net Cash from Investing</t>
  </si>
  <si>
    <t xml:space="preserve">   Dividends Paid</t>
  </si>
  <si>
    <t xml:space="preserve">   RCF Drawdowns</t>
  </si>
  <si>
    <t xml:space="preserve">   RCF Repayments</t>
  </si>
  <si>
    <t xml:space="preserve">   Net Cash from Financing</t>
  </si>
  <si>
    <t xml:space="preserve">   Net Change in Cash</t>
  </si>
  <si>
    <t xml:space="preserve">   Cash at End of Year</t>
  </si>
  <si>
    <t xml:space="preserve">  SUPPLEMENTARY / DERIVED INPUTS</t>
  </si>
  <si>
    <t xml:space="preserve">   Shares Outstanding (approx. m)</t>
  </si>
  <si>
    <t xml:space="preserve">m</t>
  </si>
  <si>
    <t xml:space="preserve">   Dividends Paid (£m)</t>
  </si>
  <si>
    <t xml:space="preserve">   DPS (p) – derived</t>
  </si>
  <si>
    <t xml:space="preserve">   Tax Rate (%)</t>
  </si>
  <si>
    <t xml:space="preserve">%</t>
  </si>
  <si>
    <t xml:space="preserve">CHEMRING GROUP PLC — SOURCE DATA</t>
  </si>
  <si>
    <t xml:space="preserve">Income Statement, Balance Sheet &amp; Cash Flow | 2020–2025 | Values in £m except EPS (pence)</t>
  </si>
  <si>
    <t xml:space="preserve">   Operating Profit (Total)</t>
  </si>
  <si>
    <t xml:space="preserve">   Operating Profit (Underlying)</t>
  </si>
  <si>
    <t xml:space="preserve">-</t>
  </si>
  <si>
    <t xml:space="preserve">   Finance Expense</t>
  </si>
  <si>
    <t xml:space="preserve">   Profit Before Tax (Total)</t>
  </si>
  <si>
    <t xml:space="preserve">   PAT – Continuing (Total)</t>
  </si>
  <si>
    <t xml:space="preserve">   Disc. Operations after Tax</t>
  </si>
  <si>
    <t xml:space="preserve">   Total Profit After Tax</t>
  </si>
  <si>
    <t xml:space="preserve">   EPS Basic – Continuing (p)</t>
  </si>
  <si>
    <t xml:space="preserve">   EPS Diluted – Continuing (p)</t>
  </si>
  <si>
    <t xml:space="preserve">   EPS Basic – Total (p)</t>
  </si>
  <si>
    <t xml:space="preserve">   EPS Diluted – Total (p)</t>
  </si>
  <si>
    <t xml:space="preserve">   Goodwill</t>
  </si>
  <si>
    <t xml:space="preserve">   Development Costs</t>
  </si>
  <si>
    <t xml:space="preserve">   Other Intangibles</t>
  </si>
  <si>
    <t xml:space="preserve">   Property, Plant &amp; Equipment</t>
  </si>
  <si>
    <t xml:space="preserve">   Deferred Tax Asset</t>
  </si>
  <si>
    <t xml:space="preserve">   Inventories</t>
  </si>
  <si>
    <t xml:space="preserve">   Trade &amp; Other Receivables</t>
  </si>
  <si>
    <t xml:space="preserve">   Cash &amp; Equivalents</t>
  </si>
  <si>
    <t xml:space="preserve">   Borrowings – Current</t>
  </si>
  <si>
    <t xml:space="preserve">   Trade &amp; Other Payables</t>
  </si>
  <si>
    <t xml:space="preserve">   Borrowings – Non-Current</t>
  </si>
  <si>
    <t xml:space="preserve">   Total Equity</t>
  </si>
  <si>
    <t xml:space="preserve">   Retained Earnings</t>
  </si>
  <si>
    <t xml:space="preserve">   Share Capital + Premium</t>
  </si>
  <si>
    <t xml:space="preserve">   Capex – PPE</t>
  </si>
  <si>
    <t xml:space="preserve">   Capex – Intangibles</t>
  </si>
  <si>
    <t xml:space="preserve">   Purchase of Own Shares</t>
  </si>
  <si>
    <t xml:space="preserve">   Drawdown of Borrowings</t>
  </si>
  <si>
    <t xml:space="preserve">   Repayments of Borrowings</t>
  </si>
  <si>
    <t xml:space="preserve">   D&amp;A (approx.)</t>
  </si>
  <si>
    <t xml:space="preserve">   Tax Rate (%) – total</t>
  </si>
  <si>
    <t xml:space="preserve">   Finance Expense (abs.)</t>
  </si>
  <si>
    <t xml:space="preserve">FINANCIAL STATEMENT ANALYSIS</t>
  </si>
  <si>
    <t xml:space="preserve">Trend analysis across all key P&amp;L, Balance Sheet and Cash Flow metrics | Blue = hardcoded input | Black = Excel formula | Green = cross-sheet link</t>
  </si>
  <si>
    <t xml:space="preserve">Formula Used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</si>
  <si>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</si>
  <si>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</si>
  <si>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</si>
  <si>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</si>
  <si>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</si>
  <si>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</si>
  <si>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</si>
  <si>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Analyst Notes</t>
  </si>
  <si>
    <t xml:space="preserve">← Formula is shown in this column for transparency</t>
  </si>
  <si>
    <t xml:space="preserve">DUNELM GROUP PLC</t>
  </si>
  <si>
    <t xml:space="preserve">CHEMRING GROUP PLC</t>
  </si>
  <si>
    <t xml:space="preserve">  ▸  1.1  REVENUE TREND</t>
  </si>
  <si>
    <t xml:space="preserve">  Revenue (£m)</t>
  </si>
  <si>
    <t xml:space="preserve"> =direct link to income statement revenue row</t>
  </si>
  <si>
    <t xml:space="preserve">Dunelm: Strong retail growth; Chemring: Gradual defence ramp</t>
  </si>
  <si>
    <t xml:space="preserve">  Revenue YoY Growth (%)</t>
  </si>
  <si>
    <t xml:space="preserve"> =(revenue_year_n - revenue_year_n-1) / revenue_year_n-1</t>
  </si>
  <si>
    <t xml:space="preserve">n/a</t>
  </si>
  <si>
    <t xml:space="preserve">Dunelm dip FY20 (COVID); surge FY21-22; Chemring steady</t>
  </si>
  <si>
    <t xml:space="preserve">  Revenue CAGR to Date (%)</t>
  </si>
  <si>
    <t xml:space="preserve"> =(revenue_year_n / revenue_base_year)^(1/n) - 1</t>
  </si>
  <si>
    <t xml:space="preserve">base</t>
  </si>
  <si>
    <t xml:space="preserve">Dunelm CAGR ~9.2% (2019-2024); Chemring ~4.3% (2020-2025)</t>
  </si>
  <si>
    <t xml:space="preserve">  ▸  1.2  GROSS PROFIT TREND</t>
  </si>
  <si>
    <t xml:space="preserve">  Gross Profit / EBIT (£m)</t>
  </si>
  <si>
    <t xml:space="preserve">Dunelm: ='Dunelm_Data'!Revenue row - CoS row | Chemring: Operating Profit (no COGS split reported)</t>
  </si>
  <si>
    <t xml:space="preserve">Chemring gross profit not separately disclosed; EBIT used</t>
  </si>
  <si>
    <t xml:space="preserve">  YoY Growth (%)</t>
  </si>
  <si>
    <t xml:space="preserve"> =(gp_n - gp_n-1) / |gp_n-1|</t>
  </si>
  <si>
    <t xml:space="preserve">Dunelm GP grew 62% over 5yr; Chemring EBIT +58%</t>
  </si>
  <si>
    <t xml:space="preserve">  ▸  1.3  OPERATING PROFIT TREND</t>
  </si>
  <si>
    <t xml:space="preserve">  Operating Profit / EBIT (£m)</t>
  </si>
  <si>
    <t xml:space="preserve"> =revenue - cost of sales - operating costs  [pulled from is rows]</t>
  </si>
  <si>
    <t xml:space="preserve">Dunelm £213m (FY24); Chemring £73m (FY25)</t>
  </si>
  <si>
    <t xml:space="preserve">  EBIT YoY Growth (%)</t>
  </si>
  <si>
    <t xml:space="preserve"> =(ebit_n - ebit_n-1) / ebit_n-1</t>
  </si>
  <si>
    <t xml:space="preserve">Dunelm EBIT volatile; Chemring FY25 breakout +29.7%</t>
  </si>
  <si>
    <t xml:space="preserve">  ▸  1.4  PROFIT AFTER TAX TREND</t>
  </si>
  <si>
    <t xml:space="preserve">  Profit After Tax (£m)</t>
  </si>
  <si>
    <t xml:space="preserve"> =profit before tax + taxation  [linked from is]</t>
  </si>
  <si>
    <t xml:space="preserve">Chemring FY23 PAT distorted by disc. ops loss of £32.3m</t>
  </si>
  <si>
    <t xml:space="preserve">  PAT YoY Growth (%)</t>
  </si>
  <si>
    <t xml:space="preserve"> =(pat_n - pat_n-1) / ABS(pat_n-1)</t>
  </si>
  <si>
    <t xml:space="preserve">Chemring FY23 misleadingly negative; use continuing ops</t>
  </si>
  <si>
    <t xml:space="preserve">  ▸  1.5  EARNINGS PER SHARE TREND</t>
  </si>
  <si>
    <t xml:space="preserve">  EPS Basic – Continuing (p)</t>
  </si>
  <si>
    <t xml:space="preserve"> =profit after tax / weighted average shares  [from is per-share data]</t>
  </si>
  <si>
    <t xml:space="preserve">Dunelm EPS peaked FY22 84.5p; Chemring FY25 19.7p record</t>
  </si>
  <si>
    <t xml:space="preserve">  EPS Diluted – Continuing (p)</t>
  </si>
  <si>
    <t xml:space="preserve"> =diluted pat / diluted weighted avg shares</t>
  </si>
  <si>
    <t xml:space="preserve">Dilution effect minimal for both companies</t>
  </si>
  <si>
    <t xml:space="preserve">  EPS Growth YoY (%)</t>
  </si>
  <si>
    <t xml:space="preserve"> =(eps_n - eps_n-1) / eps_n-1</t>
  </si>
  <si>
    <t xml:space="preserve">Both companies show positive CAGR despite single-year dips</t>
  </si>
  <si>
    <t xml:space="preserve">  ▸  1.6  DIVIDEND PER SHARE TREND</t>
  </si>
  <si>
    <t xml:space="preserve">  Dividend Per Share (p)</t>
  </si>
  <si>
    <t xml:space="preserve"> =total dividends paid / shares outstanding  [from supplementary data]</t>
  </si>
  <si>
    <t xml:space="preserve">Dunelm paid very large special divs FY20, FY22; Chemring progressive</t>
  </si>
  <si>
    <t xml:space="preserve">  DPS YoY Growth (%)</t>
  </si>
  <si>
    <t xml:space="preserve"> =(dps_n - dps_n-1) / dps_n-1</t>
  </si>
  <si>
    <t xml:space="preserve">Dunelm DPS erratic (special dividends); Chemring steady growth</t>
  </si>
  <si>
    <t xml:space="preserve">  ▸  1.7  ASSET GROWTH TREND</t>
  </si>
  <si>
    <t xml:space="preserve">  Total Assets (£m)</t>
  </si>
  <si>
    <t xml:space="preserve"> =total non-current assets + total current assets  [balance sheet link]</t>
  </si>
  <si>
    <t xml:space="preserve">Dunelm assets declined post-IFRS16 peak; Chemring +59% from M&amp;A/capex</t>
  </si>
  <si>
    <t xml:space="preserve">  Asset YoY Growth (%)</t>
  </si>
  <si>
    <t xml:space="preserve"> =(total assets_n - total assets_n-1) / total assets_n-1</t>
  </si>
  <si>
    <t xml:space="preserve">Chemring FY25 asset base accelerates with defence contracts</t>
  </si>
  <si>
    <t xml:space="preserve">  ▸  1.8  EQUITY TREND</t>
  </si>
  <si>
    <t xml:space="preserve">  Total Equity (£m)</t>
  </si>
  <si>
    <t xml:space="preserve"> =total assets - total liabilities  [balance sheet net assets]</t>
  </si>
  <si>
    <t xml:space="preserve">Dunelm equity eroded by large special dividends; Chemring stable</t>
  </si>
  <si>
    <t xml:space="preserve">  Equity YoY Change (%)</t>
  </si>
  <si>
    <t xml:space="preserve"> =(equity_n - equity_n-1) / |equity_n-1|</t>
  </si>
  <si>
    <t xml:space="preserve">Dunelm equity thin; shareholders rewarded via cash distributions</t>
  </si>
  <si>
    <t xml:space="preserve">  ▸  1.9  DEBT TREND</t>
  </si>
  <si>
    <t xml:space="preserve">  Financial Debt – excl. leases (£m)</t>
  </si>
  <si>
    <t xml:space="preserve">Dunelm: =ABS(Bank Loans) | Chemring: =ABS(Borrowings_Current) + ABS(Borrowings_NonCurrent)</t>
  </si>
  <si>
    <t xml:space="preserve">Chemring debt surged FY24-25 to fund investment; Dunelm RCF modest</t>
  </si>
  <si>
    <t xml:space="preserve">  Total Liabilities (£m)</t>
  </si>
  <si>
    <t xml:space="preserve"> =ABS(total liabilities row from balance sheet)</t>
  </si>
  <si>
    <t xml:space="preserve">Includes lease liabilities; Dunelm lease-heavy due to store estate</t>
  </si>
  <si>
    <t xml:space="preserve">Note: Blue cells = hardcoded source inputs in Data sheets. Black cells = Excel formulas computed from source data. Formula column shows the calculation logic.</t>
  </si>
  <si>
    <t xml:space="preserve">PROFITABILITY ANALYSIS</t>
  </si>
  <si>
    <t xml:space="preserve">Margin movement, cost efficiency, return to shareholders, profit quality &amp; sustainability</t>
  </si>
  <si>
    <t xml:space="preserve">← Formula logic shown here</t>
  </si>
  <si>
    <t xml:space="preserve">  ▸  2.1  MARGIN MOVEMENT</t>
  </si>
  <si>
    <t xml:space="preserve">  Gross Margin (%) – Dunelm / EBIT Margin – Chemring</t>
  </si>
  <si>
    <t xml:space="preserve">Dunelm: = Gross Profit / Revenue | Chemring: = Operating Profit / Revenue</t>
  </si>
  <si>
    <t xml:space="preserve">Dunelm GM ~50%; Chemring EBIT margin expanding to 14.8% in FY25</t>
  </si>
  <si>
    <t xml:space="preserve">  Operating (EBIT) Margin (%)</t>
  </si>
  <si>
    <t xml:space="preserve"> =operating profit / revenue</t>
  </si>
  <si>
    <t xml:space="preserve">Dunelm peaked FY22 13.8%; Chemring FY25 highest at 14.8%</t>
  </si>
  <si>
    <t xml:space="preserve">  Net Profit Margin (%)</t>
  </si>
  <si>
    <t xml:space="preserve"> =profit after tax / revenue</t>
  </si>
  <si>
    <t xml:space="preserve">Chemring FY23 net margin distorted; use continuing ops basis</t>
  </si>
  <si>
    <t xml:space="preserve">  PBT Margin (%)</t>
  </si>
  <si>
    <t xml:space="preserve"> =profit before tax / revenue</t>
  </si>
  <si>
    <t xml:space="preserve">More representative; excludes tax distortions</t>
  </si>
  <si>
    <t xml:space="preserve">  ▸  2.2  COST EFFICIENCY</t>
  </si>
  <si>
    <t xml:space="preserve">  Cost of Sales as % Revenue</t>
  </si>
  <si>
    <t xml:space="preserve">Dunelm: = ABS(Cost of Sales) / Revenue | Chemring: not separately disclosed</t>
  </si>
  <si>
    <t xml:space="preserve">N/A (not disclosed)</t>
  </si>
  <si>
    <t xml:space="preserve">Dunelm CoS ratio improving slightly – supply chain efficiency gains</t>
  </si>
  <si>
    <t xml:space="preserve">  Operating Costs as % Revenue</t>
  </si>
  <si>
    <t xml:space="preserve">Dunelm: = ABS(Operating Costs) / Revenue</t>
  </si>
  <si>
    <t xml:space="preserve">N/A</t>
  </si>
  <si>
    <t xml:space="preserve">Dunelm OpEx ratio broadly flat ~39%; good cost control vs revenue growth</t>
  </si>
  <si>
    <t xml:space="preserve">  EBITDA (£m)</t>
  </si>
  <si>
    <t xml:space="preserve"> =ebit + d&amp;a (ppe+intangibles) + depreciation of right-of-use assets</t>
  </si>
  <si>
    <t xml:space="preserve">EBITDA better reflects cash generation capacity before lease costs</t>
  </si>
  <si>
    <t xml:space="preserve">  EBITDA Margin (%)</t>
  </si>
  <si>
    <t xml:space="preserve"> =ebitda / revenue</t>
  </si>
  <si>
    <t xml:space="preserve">Dunelm EBITDA margin ~25-27%; includes significant IFRS16 ROU D&amp;A</t>
  </si>
  <si>
    <t xml:space="preserve">  ▸  2.3  RETURN TO SHAREHOLDERS</t>
  </si>
  <si>
    <t xml:space="preserve">  Return on Equity – ROE (%)</t>
  </si>
  <si>
    <t xml:space="preserve"> =pat / ((opening equity + closing equity) / 2)  — 2-point average</t>
  </si>
  <si>
    <t xml:space="preserve">Dunelm ROE very high (thin equity base); Chemring ~12% sustainable</t>
  </si>
  <si>
    <t xml:space="preserve">  Return on Capital Employed – ROCE (%)</t>
  </si>
  <si>
    <t xml:space="preserve"> =ebit / ((capital employed_n + capital employed_n-1) / 2)   ce = total assets - current liabilities</t>
  </si>
  <si>
    <t xml:space="preserve">Dunelm ROCE strong ~35-50%; Chemring lower ~10-15% but improving</t>
  </si>
  <si>
    <t xml:space="preserve">  Return on Assets – ROA (%)</t>
  </si>
  <si>
    <t xml:space="preserve"> =pat / total assets</t>
  </si>
  <si>
    <t xml:space="preserve">Both companies maintain positive ROA; Chemring asset-heavy vs Dunelm</t>
  </si>
  <si>
    <t xml:space="preserve">  Dividend Cover (times)</t>
  </si>
  <si>
    <t xml:space="preserve"> =eps basic / dps   — shows how many times profit covers the dividend</t>
  </si>
  <si>
    <t xml:space="preserve">Dunelm special divs reduce cover FY22; Chemring cover &gt;2x = safe</t>
  </si>
  <si>
    <t xml:space="preserve">  Dividend Payout Ratio (%)</t>
  </si>
  <si>
    <t xml:space="preserve"> =dps / eps basic   — % of earnings returned as dividend</t>
  </si>
  <si>
    <t xml:space="preserve">Dunelm FY22 payout &gt;100% (special dividends funded from cash reserves)</t>
  </si>
  <si>
    <t xml:space="preserve">  ▸  2.4  PROFIT QUALITY</t>
  </si>
  <si>
    <t xml:space="preserve">  Operating Cash Conversion (%)</t>
  </si>
  <si>
    <t xml:space="preserve"> =net cash from operations / operating profit   — tests if EBIT translates to cash</t>
  </si>
  <si>
    <t xml:space="preserve">&gt;100% = high quality earnings; both companies typically exceed 100%</t>
  </si>
  <si>
    <t xml:space="preserve">  Free Cash Flow – FCF (£m)</t>
  </si>
  <si>
    <t xml:space="preserve"> =net cash from operations + capex (ppe)   — note capex is negative in source data</t>
  </si>
  <si>
    <t xml:space="preserve">Dunelm FCF very strong; Chemring FCF under pressure from heavy capex FY25</t>
  </si>
  <si>
    <t xml:space="preserve">  FCF / EBIT Conversion (%)</t>
  </si>
  <si>
    <t xml:space="preserve"> =free cash flow / operating profit</t>
  </si>
  <si>
    <t xml:space="preserve">Declining Chemring FCF/EBIT reflects rising defence investment cycle</t>
  </si>
  <si>
    <t xml:space="preserve">  ▸  2.5  SUSTAINABILITY OF PROFIT GROWTH</t>
  </si>
  <si>
    <t xml:space="preserve">  Asset Turnover (x)</t>
  </si>
  <si>
    <t xml:space="preserve"> =revenue / total assets   — efficiency of asset base in generating sales</t>
  </si>
  <si>
    <t xml:space="preserve">Dunelm ~2.5x excellent; Chemring ~0.6x reflects capital-intensive mfg</t>
  </si>
  <si>
    <t xml:space="preserve">  Effective Tax Rate (%)</t>
  </si>
  <si>
    <t xml:space="preserve"> =ABS(taxation) / profit before tax</t>
  </si>
  <si>
    <t xml:space="preserve">Dunelm ETR rising to 26.4% FY24; Chemring ETR volatile (deferred tax)</t>
  </si>
  <si>
    <t xml:space="preserve">Colour key: Red-shaded = Dunelm data | Green-shaded = Chemring data | Formula column shows Excel logic used for each metric</t>
  </si>
  <si>
    <t xml:space="preserve">EFFICIENCY ANALYSIS</t>
  </si>
  <si>
    <t xml:space="preserve">Asset utilisation, inventory management, working capital discipline &amp; operating cycle</t>
  </si>
  <si>
    <t xml:space="preserve">  ▸  3.1  ASSET USE EFFICIENCY</t>
  </si>
  <si>
    <t xml:space="preserve"> =revenue / total assets   — measures how efficiently assets generate sales</t>
  </si>
  <si>
    <t xml:space="preserve">Dunelm ~2.5x outstanding for retail; Chemring ~0.6x typical for defence mfg</t>
  </si>
  <si>
    <t xml:space="preserve">  Non-Current Asset Turnover (x)</t>
  </si>
  <si>
    <t xml:space="preserve"> =revenue / total non-current assets</t>
  </si>
  <si>
    <t xml:space="preserve">Dunelm NCA inflated post-IFRS16 ROU; Chemring stable capex base</t>
  </si>
  <si>
    <t xml:space="preserve">  PPE Turnover (x)</t>
  </si>
  <si>
    <t xml:space="preserve"> =revenue / property, plant &amp; equipment</t>
  </si>
  <si>
    <t xml:space="preserve">Dunelm PPE turnover ~6-10x; Chemring ~1.4-2x reflects factory-heavy base</t>
  </si>
  <si>
    <t xml:space="preserve">  ▸  3.2  INVENTORY MANAGEMENT</t>
  </si>
  <si>
    <t xml:space="preserve">  Inventory Days (days)</t>
  </si>
  <si>
    <t xml:space="preserve">Dunelm: = Inventory / (CoS / 365)  |  Chemring: = Inventory / (Revenue / 365) [CoS not disclosed]</t>
  </si>
  <si>
    <t xml:space="preserve">Dunelm ~100 days seasonal inventory build; Chemring ~75-105 days, rising</t>
  </si>
  <si>
    <t xml:space="preserve">  Inventory Turnover (x)</t>
  </si>
  <si>
    <t xml:space="preserve">Dunelm: = CoS / Inventory  |  Chemring: = Revenue / Inventory</t>
  </si>
  <si>
    <t xml:space="preserve">Higher is better; Dunelm ~3-5x; Chemring ~3.5-5x</t>
  </si>
  <si>
    <t xml:space="preserve">  Inventory as % of Revenue</t>
  </si>
  <si>
    <t xml:space="preserve"> =inventory / revenue   — lower = leaner stock management</t>
  </si>
  <si>
    <t xml:space="preserve">Both companies show inventory growth above revenue growth in recent years</t>
  </si>
  <si>
    <t xml:space="preserve">  ▸  3.3  WORKING CAPITAL DISCIPLINE</t>
  </si>
  <si>
    <t xml:space="preserve">  Receivable Days / DSO (days)</t>
  </si>
  <si>
    <t xml:space="preserve"> =trade &amp; other receivables / (revenue / 365)   — avg collection period</t>
  </si>
  <si>
    <t xml:space="preserve">Dunelm very low DSO (~5-8 days) – cash retail model; Chemring ~50-80 days govt contracts</t>
  </si>
  <si>
    <t xml:space="preserve">  Payable Days / DPO (days)</t>
  </si>
  <si>
    <t xml:space="preserve">Dunelm: = ABS(Trade Payables) / (CoS/365)  |  Chemring: / (Revenue/365)</t>
  </si>
  <si>
    <t xml:space="preserve">Dunelm DPO ~80-95 days – strong supplier leverage; Chemring ~75-95 days</t>
  </si>
  <si>
    <t xml:space="preserve">  Net Working Capital (£m)</t>
  </si>
  <si>
    <t xml:space="preserve"> =inventories + trade receivables - trade payables</t>
  </si>
  <si>
    <t xml:space="preserve">Dunelm NWC often negative (payables &gt; stock+receivables) = excellent WC management</t>
  </si>
  <si>
    <t xml:space="preserve">  Net Working Capital Days</t>
  </si>
  <si>
    <t xml:space="preserve"> =net working capital / (revenue / 365)   — negative = payables-funded business</t>
  </si>
  <si>
    <t xml:space="preserve">Dunelm negative NWC days = business partly financed by suppliers</t>
  </si>
  <si>
    <t xml:space="preserve">  ▸  3.4  OPERATING CYCLE IMPLICATIONS</t>
  </si>
  <si>
    <t xml:space="preserve">  Cash Conversion Cycle (days)</t>
  </si>
  <si>
    <t xml:space="preserve"> =dso + dio (inventory days) - dpo   — lower/negative = cash generative model</t>
  </si>
  <si>
    <t xml:space="preserve">Dunelm CCC often negative – pre-payment retail model; Chemring positive due to contract timings</t>
  </si>
  <si>
    <t xml:space="preserve">  Revenue per £ of PPE (x)</t>
  </si>
  <si>
    <t xml:space="preserve"> =revenue / ppe net book value   — intensity of fixed assets</t>
  </si>
  <si>
    <t xml:space="preserve">Dunelm low fixed asset intensity vs revenue; Chemring capital intensive</t>
  </si>
  <si>
    <t xml:space="preserve">Operating cycle analysis: Dunelm's negative CCC is a significant competitive advantage – suppliers effectively fund the business. Chemring's positive CCC reflects defence contract timing.</t>
  </si>
  <si>
    <t xml:space="preserve">LIQUIDITY ANALYSIS</t>
  </si>
  <si>
    <t xml:space="preserve">Short-term solvency, working capital sufficiency, cash support for dividends &amp; operational flexibility</t>
  </si>
  <si>
    <t xml:space="preserve">  ▸  4.1  SHORT-TERM SOLVENCY</t>
  </si>
  <si>
    <t xml:space="preserve">  Current Ratio (x)</t>
  </si>
  <si>
    <t xml:space="preserve"> =total current assets / ABS(total current liabilities)   — benchmark: &gt;1.5x comfortable</t>
  </si>
  <si>
    <t xml:space="preserve">Dunelm ~1.0-1.3x; adequate for cash-generative retail. Chemring typically &gt;1.2x</t>
  </si>
  <si>
    <t xml:space="preserve">  Quick Ratio / Acid Test (x)</t>
  </si>
  <si>
    <t xml:space="preserve"> =(total current assets - inventories) / ABS(current liabilities)   — benchmark: &gt;1.0x</t>
  </si>
  <si>
    <t xml:space="preserve">Dunelm quick ratio ~0.3-0.5x; low but supported by strong operating cash flow</t>
  </si>
  <si>
    <t xml:space="preserve">  Cash Ratio (x)</t>
  </si>
  <si>
    <t xml:space="preserve"> =cash &amp; equivalents / ABS(current liabilities)</t>
  </si>
  <si>
    <t xml:space="preserve">Dunelm cash ratio very low FY24; managed via RCF facility headroom</t>
  </si>
  <si>
    <t xml:space="preserve">  ▸  4.2  WORKING CAPITAL SUFFICIENCY</t>
  </si>
  <si>
    <t xml:space="preserve">  Net Current Assets / (Working Capital) (£m)</t>
  </si>
  <si>
    <t xml:space="preserve"> =total current assets - ABS(total current liabilities)</t>
  </si>
  <si>
    <t xml:space="preserve">Negative for Dunelm post-IFRS16 (lease liabilities in CL); not distress signal</t>
  </si>
  <si>
    <t xml:space="preserve">  Operating Cash Flow / Current Liabilities (x)</t>
  </si>
  <si>
    <t xml:space="preserve"> =net cash from operations / ABS(current liabilities)   — liquidity quality check</t>
  </si>
  <si>
    <t xml:space="preserve">&gt;0.4x = strong; both companies comfortably covered by operating cash flow</t>
  </si>
  <si>
    <t xml:space="preserve">  ▸  4.3  CASH SUPPORT FOR DIVIDENDS</t>
  </si>
  <si>
    <t xml:space="preserve">  Dividends Paid (£m)</t>
  </si>
  <si>
    <t xml:space="preserve"> =ABS(dividends paid cash flow line)</t>
  </si>
  <si>
    <t xml:space="preserve">Dunelm FY22 paid £282m (inc. special); Chemring progressive ordinary dividend</t>
  </si>
  <si>
    <t xml:space="preserve">  FCF / Dividends Paid Cover (x)</t>
  </si>
  <si>
    <t xml:space="preserve"> =free cash flow / dividends paid   — &gt;1.0x means dividends covered by FCF</t>
  </si>
  <si>
    <t xml:space="preserve">Dunelm special divs not fully FCF-covered; Chemring ordinary div well covered</t>
  </si>
  <si>
    <t xml:space="preserve">  Operating Cash Flow / Dividends Paid (x)</t>
  </si>
  <si>
    <t xml:space="preserve"> =net cash from operations / dividends paid   — broader cash support check</t>
  </si>
  <si>
    <t xml:space="preserve">Chemring &gt;4x; dividends very well covered by operational cash generation</t>
  </si>
  <si>
    <t xml:space="preserve">  ▸  4.4  OPERATIONAL FLEXIBILITY</t>
  </si>
  <si>
    <t xml:space="preserve">  Cash as % of Revenue</t>
  </si>
  <si>
    <t xml:space="preserve"> =cash &amp; equivalents / revenue   — shows buffer relative to business scale</t>
  </si>
  <si>
    <t xml:space="preserve">Dunelm FY24 cash very low at 1.4%; Chemring reliant on RCF/credit facilities</t>
  </si>
  <si>
    <t xml:space="preserve">  Net Cash / (Net Debt) – excl. leases (£m)</t>
  </si>
  <si>
    <t xml:space="preserve"> =cash - financial debt (bank loans/borrowings, excluding ifrs16 lease liabilities)</t>
  </si>
  <si>
    <t xml:space="preserve">Negative = net debt position. Dunelm modest net debt; Chemring rising net debt FY24-25</t>
  </si>
  <si>
    <t xml:space="preserve">Liquidity insight: Dunelm's retail cash-before-goods model and payables leverage means traditional quick/cash ratios understate true liquidity. Chemring maintains adequate headroom via its RCF facility.</t>
  </si>
  <si>
    <t xml:space="preserve">SOLVENCY &amp; RISK ANALYSIS</t>
  </si>
  <si>
    <t xml:space="preserve">Capital structure, borrowing risk, interest servicing ability &amp; long-term financial resilience</t>
  </si>
  <si>
    <t xml:space="preserve">  ▸  5.1  CAPITAL STRUCTURE STRENGTH</t>
  </si>
  <si>
    <t xml:space="preserve">  Debt-to-Equity (Gearing) – excl. leases (x)</t>
  </si>
  <si>
    <t xml:space="preserve">Dunelm: = ABS(Bank Loans) / Total Equity  |  Chemring: = ABS(Total Borrowings) / Total Equity</t>
  </si>
  <si>
    <t xml:space="preserve">Dunelm low financial gearing but equity base thin; Chemring rising gearing FY24-25</t>
  </si>
  <si>
    <t xml:space="preserve">  Total Liabilities / Total Assets (leverage ratio)</t>
  </si>
  <si>
    <t xml:space="preserve"> =ABS(total liabilities) / total assets   — benchmark: &lt;0.5 conservative</t>
  </si>
  <si>
    <t xml:space="preserve">Dunelm &gt;0.7x – lease liabilities dominate; Chemring rising from 0.39 to 0.56</t>
  </si>
  <si>
    <t xml:space="preserve">  Equity Ratio (%) – Financial Independence</t>
  </si>
  <si>
    <t xml:space="preserve"> =total equity / total assets   — higher = lower financial risk</t>
  </si>
  <si>
    <t xml:space="preserve">Dunelm equity ratio declining; Chemring ~44-67% historically strong</t>
  </si>
  <si>
    <t xml:space="preserve">  ▸  5.2  BORROWING RISK</t>
  </si>
  <si>
    <t xml:space="preserve">  Net Debt / EBITDA (x) – excl. leases</t>
  </si>
  <si>
    <t xml:space="preserve"> =(financial debt - cash) / ebitda   — key leverage covenant metric; &lt;2.0x typically comfortable</t>
  </si>
  <si>
    <t xml:space="preserve">Dunelm net cash in FY21; Chemring net debt/EBITDA rising but manageable ~1.5x</t>
  </si>
  <si>
    <t xml:space="preserve">  Gross Debt / EBITDA (x) – excl. leases</t>
  </si>
  <si>
    <t xml:space="preserve"> =ABS(financial debt) / ebitda</t>
  </si>
  <si>
    <t xml:space="preserve">Chemring gross leverage increasing with defence capital investment programme</t>
  </si>
  <si>
    <t xml:space="preserve">  ▸  5.3  INTEREST SERVICING ABILITY</t>
  </si>
  <si>
    <t xml:space="preserve">  Interest Cover – EBIT / Finance Expense (x)</t>
  </si>
  <si>
    <t xml:space="preserve"> =operating profit / ABS(finance expense / interest)   — &gt;3x comfortable, &gt;5x strong</t>
  </si>
  <si>
    <t xml:space="preserve">Dunelm interest cover very high; Chemring declining from 39x to 13x but still very strong</t>
  </si>
  <si>
    <t xml:space="preserve">  EBITDA / Finance Expense (x)</t>
  </si>
  <si>
    <t xml:space="preserve"> =ebitda / ABS(finance expense)   — cash-based interest cover</t>
  </si>
  <si>
    <t xml:space="preserve">Both companies retain very comfortable EBITDA interest coverage ratios</t>
  </si>
  <si>
    <t xml:space="preserve">  Debt Service Cover Ratio – DSCR (x)</t>
  </si>
  <si>
    <t xml:space="preserve">Dunelm: = (EBIT - Tax) / (Finance Expense + ROU Depreciation proxy)  |  Chemring: (EBIT - Tax) / Finance Expense</t>
  </si>
  <si>
    <t xml:space="preserve">DSCR &gt;1.25x = adequate; both companies comfortably above threshold</t>
  </si>
  <si>
    <t xml:space="preserve">  ▸  5.4  LONG-TERM FINANCIAL RESILIENCE</t>
  </si>
  <si>
    <t xml:space="preserve">  Retained Earnings (£m)</t>
  </si>
  <si>
    <t xml:space="preserve"> =retained earnings from balance sheet (equity sub-component)</t>
  </si>
  <si>
    <t xml:space="preserve">Dunelm RE declining as special divs distributed; Chemring RE growing steadily</t>
  </si>
  <si>
    <t xml:space="preserve">  Capital Expenditure / Revenue (%)</t>
  </si>
  <si>
    <t xml:space="preserve"> =ABS(capex ppe) / revenue   — maintenance vs growth signal</t>
  </si>
  <si>
    <t xml:space="preserve">Chemring capex intensity rising sharply ~18% FY25; defence contract investment</t>
  </si>
  <si>
    <t xml:space="preserve">  Capex / D&amp;A (x) – investment coverage</t>
  </si>
  <si>
    <t xml:space="preserve"> =ABS(capex) / total d&amp;a   — &gt;1.0x = investing in growth; &lt;1.0x = harvesting</t>
  </si>
  <si>
    <t xml:space="preserve">Chemring FY24-25 Capex/DA rising &gt;3x – significant capacity investment phase</t>
  </si>
  <si>
    <t xml:space="preserve">Solvency conclusion: Both companies are financially resilient. Dunelm carries thin equity but operates a low-debt model. Chemring's debt is rising but supportable given defence order book visibility and strong interest cover.</t>
  </si>
  <si>
    <t xml:space="preserve">MARKET &amp; INVESTMENT ANALYSIS</t>
  </si>
  <si>
    <t xml:space="preserve">Dividend attractiveness, valuation, earnings multiples &amp; shareholder return potential — requires market price inputs</t>
  </si>
  <si>
    <t xml:space="preserve">  ▸  MARKET PRICE INPUTS  (update these cells with current share price)</t>
  </si>
  <si>
    <t xml:space="preserve">  Share Price (p) – DUNELM  [Update with actual prices]</t>
  </si>
  <si>
    <t xml:space="preserve">Hardcoded approximations — update cells C-H with actual year-end prices</t>
  </si>
  <si>
    <t xml:space="preserve">Enter actual year-end prices for accurate ratios</t>
  </si>
  <si>
    <t xml:space="preserve">  ▸  6.1  DIVIDEND ATTRACTIVENESS</t>
  </si>
  <si>
    <t xml:space="preserve">  Dividend Yield (%)</t>
  </si>
  <si>
    <t xml:space="preserve"> =dps (pence) / share PRICE(pence)   — update share price inputs above</t>
  </si>
  <si>
    <t xml:space="preserve">Dunelm yield inflated in years with special dividends; Chemring ~2-3% consistent</t>
  </si>
  <si>
    <t xml:space="preserve"> =dividends paid / shares outstanding  [from supplementary data]</t>
  </si>
  <si>
    <t xml:space="preserve">Chemring has grown DPS every year – strong progressive dividend track record</t>
  </si>
  <si>
    <t xml:space="preserve">  ▸  6.2  VALUATION</t>
  </si>
  <si>
    <t xml:space="preserve">  Price / Earnings (P/E) Ratio (x) – basic EPS</t>
  </si>
  <si>
    <t xml:space="preserve"> =share price / eps basic   — reflects market's earnings multiple</t>
  </si>
  <si>
    <t xml:space="preserve">Dunelm typically 12-18x; Chemring 15-22x as defence premium has risen</t>
  </si>
  <si>
    <t xml:space="preserve">  Book Value Per Share (£)</t>
  </si>
  <si>
    <t xml:space="preserve"> =total equity / shares outstanding</t>
  </si>
  <si>
    <t xml:space="preserve">Dunelm BVPS thin ~£0.68; Chemring BVPS ~£1.25-1.54 more robust</t>
  </si>
  <si>
    <t xml:space="preserve">  Price / Book Value (P/B) (x)</t>
  </si>
  <si>
    <t xml:space="preserve"> =(share price in £) / (Total Equity / Shares Outstanding)   share price converted from pence))</t>
  </si>
  <si>
    <t xml:space="preserve">Dunelm P/B very high given thin equity – reflects brand/profitability premium</t>
  </si>
  <si>
    <t xml:space="preserve">  EV / EBITDA (x)  [approx. – excl. lease debt from EV]</t>
  </si>
  <si>
    <t xml:space="preserve"> =(market cap + net financial debt) / ebitda   — Market Cap = (Price/100) × Shares</t>
  </si>
  <si>
    <t xml:space="preserve">EV/EBITDA ~7-12x both companies; Chemring at premium given defence tailwinds</t>
  </si>
  <si>
    <t xml:space="preserve">  ▸  6.3  EARNINGS MULTIPLE INTERPRETATION</t>
  </si>
  <si>
    <t xml:space="preserve">  PEG Ratio (P/E / EPS Growth)</t>
  </si>
  <si>
    <t xml:space="preserve"> =p/e ratio / (yoy eps growth %)   — &lt;1.0x may indicate undervaluation</t>
  </si>
  <si>
    <t xml:space="preserve">PEG &lt;1.0x = growth at reasonable price; interpret cautiously with volatile EPS</t>
  </si>
  <si>
    <t xml:space="preserve">  ▸  6.4  SHAREHOLDER RETURN POTENTIAL</t>
  </si>
  <si>
    <t xml:space="preserve">  Total Shareholder Return – TSR (%) [approx.]</t>
  </si>
  <si>
    <t xml:space="preserve"> =(price_n - price_n-1) / price_n-1 + dps_n / price_n-1   — capital gain + dividend yield</t>
  </si>
  <si>
    <t xml:space="preserve">Update share prices for accurate TSR; both stocks have outperformed in recent periods</t>
  </si>
  <si>
    <t xml:space="preserve">  FCF Yield (%) – Free Cash Flow Per Share / Price</t>
  </si>
  <si>
    <t xml:space="preserve"> =(fcf / shares × 100) / Share Price   — higher = more cash generative per £ invested))</t>
  </si>
  <si>
    <t xml:space="preserve">Dunelm FCF yield typically 6-10%; Chemring lower but improving with capex cycle completion</t>
  </si>
  <si>
    <t xml:space="preserve">Market analysis note: Share prices are approximate mid-year estimates. Update cells in the Market Price Inputs section above with actual year-end closing prices for precise ratios. All valuation multiples auto-update.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</si>
</sst>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.0;&quot;(£&quot;#,##0.0\);\-"/>
    <numFmt numFmtId="166" formatCode="0.0\p;\-0.0\p;\-"/>
    <numFmt numFmtId="167" formatCode="0.0%;\-0.0%;\-"/>
    <numFmt numFmtId="168" formatCode="0.0\x;\-0.0\x;\-"/>
    <numFmt numFmtId="169" formatCode="#,##0.0&quot; days&quot;;\-#,##0.0&quot; days&quot;;\-"/>
    <numFmt numFmtId="170" formatCode="\£#,##0.00;&quot;(£&quot;#,##0.0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11111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AAAAAA"/>
      <name val="Arial"/>
      <family val="0"/>
      <charset val="1"/>
    </font>
    <font>
      <i val="true"/>
      <sz val="7"/>
      <color rgb="FF44444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00CC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2D45"/>
        <bgColor rgb="FF333333"/>
      </patternFill>
    </fill>
    <fill>
      <patternFill patternType="solid">
        <fgColor rgb="FF2E4272"/>
        <bgColor rgb="FF3A5491"/>
      </patternFill>
    </fill>
    <fill>
      <patternFill patternType="solid">
        <fgColor rgb="FF3A5491"/>
        <bgColor rgb="FF2E4272"/>
      </patternFill>
    </fill>
    <fill>
      <patternFill patternType="solid">
        <fgColor rgb="FF8B1A1A"/>
        <bgColor rgb="FF800000"/>
      </patternFill>
    </fill>
    <fill>
      <patternFill patternType="solid">
        <fgColor rgb="FF1A5E3A"/>
        <bgColor rgb="FF2E4272"/>
      </patternFill>
    </fill>
    <fill>
      <patternFill patternType="solid">
        <fgColor rgb="FFF4F7FB"/>
        <bgColor rgb="FFF9F9F9"/>
      </patternFill>
    </fill>
    <fill>
      <patternFill patternType="solid">
        <fgColor rgb="FFFFF5F5"/>
        <bgColor rgb="FFFFF0F0"/>
      </patternFill>
    </fill>
    <fill>
      <patternFill patternType="solid">
        <fgColor rgb="FFF5FFF8"/>
        <bgColor rgb="FFF0FFF4"/>
      </patternFill>
    </fill>
    <fill>
      <patternFill patternType="solid">
        <fgColor rgb="FFFFFFFF"/>
        <bgColor rgb="FFFFFFF8"/>
      </patternFill>
    </fill>
    <fill>
      <patternFill patternType="solid">
        <fgColor rgb="FFF9F9F9"/>
        <bgColor rgb="FFFAFAFA"/>
      </patternFill>
    </fill>
    <fill>
      <patternFill patternType="solid">
        <fgColor rgb="FFFFFFF8"/>
        <bgColor rgb="FFFFFFFF"/>
      </patternFill>
    </fill>
    <fill>
      <patternFill patternType="solid">
        <fgColor rgb="FFFFF0F0"/>
        <bgColor rgb="FFFFF5F5"/>
      </patternFill>
    </fill>
    <fill>
      <patternFill patternType="solid">
        <fgColor rgb="FFE0E8F0"/>
        <bgColor rgb="FFEEF4FF"/>
      </patternFill>
    </fill>
    <fill>
      <patternFill patternType="solid">
        <fgColor rgb="FFF0FFF4"/>
        <bgColor rgb="FFEEFFEE"/>
      </patternFill>
    </fill>
    <fill>
      <patternFill patternType="solid">
        <fgColor rgb="FFFAFAFA"/>
        <bgColor rgb="FFF9F9F9"/>
      </patternFill>
    </fill>
    <fill>
      <patternFill patternType="solid">
        <fgColor rgb="FFFFFFF0"/>
        <bgColor rgb="FFFFFFF8"/>
      </patternFill>
    </fill>
    <fill>
      <patternFill patternType="solid">
        <fgColor rgb="FFEEF4FF"/>
        <bgColor rgb="FFF4F7FB"/>
      </patternFill>
    </fill>
    <fill>
      <patternFill patternType="solid">
        <fgColor rgb="FFEEFFEE"/>
        <bgColor rgb="FFF0FF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F8"/>
      <rgbColor rgb="FFFF00FF"/>
      <rgbColor rgb="FF00FFFF"/>
      <rgbColor rgb="FF800000"/>
      <rgbColor rgb="FF1A5E3A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F0"/>
      <rgbColor rgb="FFEEFFEE"/>
      <rgbColor rgb="FF660066"/>
      <rgbColor rgb="FFFF8080"/>
      <rgbColor rgb="FF0066CC"/>
      <rgbColor rgb="FFEEF4FF"/>
      <rgbColor rgb="FF000080"/>
      <rgbColor rgb="FFFF00FF"/>
      <rgbColor rgb="FFF5FFF8"/>
      <rgbColor rgb="FF00FFFF"/>
      <rgbColor rgb="FF800080"/>
      <rgbColor rgb="FF800000"/>
      <rgbColor rgb="FF008080"/>
      <rgbColor rgb="FF0000CC"/>
      <rgbColor rgb="FF00CCFF"/>
      <rgbColor rgb="FFF0FFF4"/>
      <rgbColor rgb="FFE0E8F0"/>
      <rgbColor rgb="FFFFF0F0"/>
      <rgbColor rgb="FFF4F7FB"/>
      <rgbColor rgb="FFF9F9F9"/>
      <rgbColor rgb="FFFAFAFA"/>
      <rgbColor rgb="FFFFF5F5"/>
      <rgbColor rgb="FF3A5491"/>
      <rgbColor rgb="FF33CCCC"/>
      <rgbColor rgb="FF99CC00"/>
      <rgbColor rgb="FFFFCC00"/>
      <rgbColor rgb="FFFF9900"/>
      <rgbColor rgb="FFFF6600"/>
      <rgbColor rgb="FF555555"/>
      <rgbColor rgb="FFAAAAAA"/>
      <rgbColor rgb="FF1F2D45"/>
      <rgbColor rgb="FF339966"/>
      <rgbColor rgb="FF111111"/>
      <rgbColor rgb="FF444444"/>
      <rgbColor rgb="FF8B1A1A"/>
      <rgbColor rgb="FF993366"/>
      <rgbColor rgb="FF2E427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0"/>
    <col collapsed="false" customWidth="true" hidden="false" outlineLevel="0" max="3" min="3" style="1" width="30"/>
    <col collapsed="false" customWidth="true" hidden="false" outlineLevel="0" max="4" min="4" style="1" width="25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30" hidden="false" customHeight="true" outlineLevel="0" collapsed="false">
      <c r="A2" s="2"/>
      <c r="B2" s="2"/>
      <c r="C2" s="2"/>
      <c r="D2" s="2"/>
    </row>
    <row r="3" customFormat="false" ht="24" hidden="false" customHeight="true" outlineLevel="0" collapsed="false">
      <c r="A3" s="3" t="s">
        <v>1</v>
      </c>
      <c r="B3" s="3"/>
      <c r="C3" s="3"/>
      <c r="D3" s="3"/>
    </row>
    <row r="4" customFormat="false" ht="15.75" hidden="false" customHeight="true" outlineLevel="0" collapsed="false">
      <c r="A4" s="4" t="s">
        <v>2</v>
      </c>
      <c r="B4" s="4"/>
      <c r="C4" s="4"/>
      <c r="D4" s="4"/>
    </row>
    <row r="5" customFormat="false" ht="9.75" hidden="false" customHeight="true" outlineLevel="0" collapsed="false"/>
    <row r="6" customFormat="false" ht="24" hidden="false" customHeight="true" outlineLevel="0" collapsed="false">
      <c r="A6" s="5" t="s">
        <v>3</v>
      </c>
      <c r="B6" s="5" t="s">
        <v>4</v>
      </c>
      <c r="C6" s="6" t="s">
        <v>5</v>
      </c>
      <c r="D6" s="7" t="s">
        <v>6</v>
      </c>
    </row>
    <row r="7" customFormat="false" ht="19.5" hidden="false" customHeight="true" outlineLevel="0" collapsed="false">
      <c r="A7" s="8" t="s">
        <v>7</v>
      </c>
      <c r="B7" s="9" t="s">
        <v>8</v>
      </c>
      <c r="C7" s="10" t="s">
        <v>9</v>
      </c>
      <c r="D7" s="11" t="s">
        <v>10</v>
      </c>
    </row>
    <row r="8" customFormat="false" ht="19.5" hidden="false" customHeight="true" outlineLevel="0" collapsed="false">
      <c r="A8" s="12" t="s">
        <v>11</v>
      </c>
      <c r="B8" s="13" t="s">
        <v>12</v>
      </c>
      <c r="C8" s="13" t="s">
        <v>10</v>
      </c>
      <c r="D8" s="13" t="s">
        <v>9</v>
      </c>
    </row>
    <row r="9" customFormat="false" ht="19.5" hidden="false" customHeight="true" outlineLevel="0" collapsed="false">
      <c r="A9" s="8" t="s">
        <v>13</v>
      </c>
      <c r="B9" s="9" t="s">
        <v>14</v>
      </c>
      <c r="C9" s="10" t="s">
        <v>15</v>
      </c>
      <c r="D9" s="11" t="s">
        <v>16</v>
      </c>
    </row>
    <row r="10" customFormat="false" ht="19.5" hidden="false" customHeight="true" outlineLevel="0" collapsed="false">
      <c r="A10" s="12" t="s">
        <v>17</v>
      </c>
      <c r="B10" s="13" t="s">
        <v>18</v>
      </c>
      <c r="C10" s="13" t="s">
        <v>19</v>
      </c>
      <c r="D10" s="13" t="s">
        <v>16</v>
      </c>
    </row>
    <row r="11" customFormat="false" ht="19.5" hidden="false" customHeight="true" outlineLevel="0" collapsed="false">
      <c r="A11" s="8" t="s">
        <v>20</v>
      </c>
      <c r="B11" s="9" t="s">
        <v>21</v>
      </c>
      <c r="C11" s="10" t="s">
        <v>22</v>
      </c>
      <c r="D11" s="11" t="s">
        <v>16</v>
      </c>
    </row>
    <row r="12" customFormat="false" ht="19.5" hidden="false" customHeight="true" outlineLevel="0" collapsed="false">
      <c r="A12" s="12" t="s">
        <v>23</v>
      </c>
      <c r="B12" s="13" t="s">
        <v>24</v>
      </c>
      <c r="C12" s="13" t="s">
        <v>25</v>
      </c>
      <c r="D12" s="13" t="s">
        <v>16</v>
      </c>
    </row>
    <row r="13" customFormat="false" ht="19.5" hidden="false" customHeight="true" outlineLevel="0" collapsed="false">
      <c r="A13" s="8" t="s">
        <v>26</v>
      </c>
      <c r="B13" s="9" t="s">
        <v>27</v>
      </c>
      <c r="C13" s="10" t="s">
        <v>28</v>
      </c>
      <c r="D13" s="11" t="s">
        <v>16</v>
      </c>
    </row>
    <row r="14" customFormat="false" ht="19.5" hidden="false" customHeight="true" outlineLevel="0" collapsed="false">
      <c r="A14" s="12" t="s">
        <v>29</v>
      </c>
      <c r="B14" s="13" t="s">
        <v>30</v>
      </c>
      <c r="C14" s="13" t="s">
        <v>31</v>
      </c>
      <c r="D14" s="13" t="s">
        <v>16</v>
      </c>
    </row>
    <row r="17" customFormat="false" ht="19.5" hidden="false" customHeight="true" outlineLevel="0" collapsed="false">
      <c r="A17" s="14" t="s">
        <v>32</v>
      </c>
      <c r="B17" s="14"/>
      <c r="C17" s="14"/>
      <c r="D17" s="14"/>
    </row>
    <row r="18" customFormat="false" ht="19.5" hidden="false" customHeight="true" outlineLevel="0" collapsed="false">
      <c r="A18" s="15" t="s">
        <v>33</v>
      </c>
      <c r="B18" s="15" t="s">
        <v>34</v>
      </c>
      <c r="C18" s="15" t="s">
        <v>35</v>
      </c>
      <c r="D18" s="15" t="s">
        <v>36</v>
      </c>
    </row>
    <row r="19" customFormat="false" ht="18" hidden="false" customHeight="true" outlineLevel="0" collapsed="false">
      <c r="A19" s="12" t="s">
        <v>37</v>
      </c>
      <c r="B19" s="13" t="s">
        <v>38</v>
      </c>
      <c r="C19" s="13" t="s">
        <v>39</v>
      </c>
      <c r="D19" s="13" t="s">
        <v>40</v>
      </c>
    </row>
    <row r="20" customFormat="false" ht="18" hidden="false" customHeight="true" outlineLevel="0" collapsed="false">
      <c r="A20" s="8" t="s">
        <v>41</v>
      </c>
      <c r="B20" s="10" t="s">
        <v>42</v>
      </c>
      <c r="C20" s="11" t="s">
        <v>43</v>
      </c>
      <c r="D20" s="9" t="s">
        <v>44</v>
      </c>
    </row>
    <row r="21" customFormat="false" ht="18" hidden="false" customHeight="true" outlineLevel="0" collapsed="false">
      <c r="A21" s="12" t="s">
        <v>45</v>
      </c>
      <c r="B21" s="13" t="s">
        <v>46</v>
      </c>
      <c r="C21" s="13" t="s">
        <v>47</v>
      </c>
      <c r="D21" s="13" t="s">
        <v>48</v>
      </c>
    </row>
    <row r="22" customFormat="false" ht="18" hidden="false" customHeight="true" outlineLevel="0" collapsed="false">
      <c r="A22" s="8" t="s">
        <v>49</v>
      </c>
      <c r="B22" s="10" t="s">
        <v>50</v>
      </c>
      <c r="C22" s="11" t="s">
        <v>51</v>
      </c>
      <c r="D22" s="9" t="s">
        <v>52</v>
      </c>
    </row>
    <row r="23" customFormat="false" ht="18" hidden="false" customHeight="true" outlineLevel="0" collapsed="false">
      <c r="A23" s="12" t="s">
        <v>53</v>
      </c>
      <c r="B23" s="13" t="s">
        <v>54</v>
      </c>
      <c r="C23" s="13" t="s">
        <v>55</v>
      </c>
      <c r="D23" s="13" t="s">
        <v>56</v>
      </c>
    </row>
    <row r="24" customFormat="false" ht="18" hidden="false" customHeight="true" outlineLevel="0" collapsed="false">
      <c r="A24" s="8" t="s">
        <v>57</v>
      </c>
      <c r="B24" s="10" t="s">
        <v>58</v>
      </c>
      <c r="C24" s="11" t="s">
        <v>59</v>
      </c>
      <c r="D24" s="9" t="s">
        <v>60</v>
      </c>
    </row>
    <row r="25" customFormat="false" ht="18" hidden="false" customHeight="true" outlineLevel="0" collapsed="false">
      <c r="A25" s="12" t="s">
        <v>61</v>
      </c>
      <c r="B25" s="13" t="s">
        <v>62</v>
      </c>
      <c r="C25" s="13" t="s">
        <v>63</v>
      </c>
      <c r="D25" s="13" t="s">
        <v>64</v>
      </c>
    </row>
    <row r="26" customFormat="false" ht="18" hidden="false" customHeight="true" outlineLevel="0" collapsed="false">
      <c r="A26" s="8" t="s">
        <v>65</v>
      </c>
      <c r="B26" s="10" t="s">
        <v>66</v>
      </c>
      <c r="C26" s="11" t="s">
        <v>67</v>
      </c>
      <c r="D26" s="9" t="s">
        <v>68</v>
      </c>
    </row>
    <row r="27" customFormat="false" ht="18" hidden="false" customHeight="true" outlineLevel="0" collapsed="false">
      <c r="A27" s="12" t="s">
        <v>69</v>
      </c>
      <c r="B27" s="13" t="s">
        <v>70</v>
      </c>
      <c r="C27" s="13" t="s">
        <v>71</v>
      </c>
      <c r="D27" s="13" t="s">
        <v>72</v>
      </c>
    </row>
    <row r="28" customFormat="false" ht="18" hidden="false" customHeight="true" outlineLevel="0" collapsed="false">
      <c r="A28" s="8" t="s">
        <v>73</v>
      </c>
      <c r="B28" s="10" t="s">
        <v>74</v>
      </c>
      <c r="C28" s="11" t="s">
        <v>75</v>
      </c>
      <c r="D28" s="9" t="s">
        <v>76</v>
      </c>
    </row>
    <row r="29" customFormat="false" ht="18" hidden="false" customHeight="true" outlineLevel="0" collapsed="false">
      <c r="A29" s="12" t="s">
        <v>77</v>
      </c>
      <c r="B29" s="13" t="s">
        <v>78</v>
      </c>
      <c r="C29" s="13" t="s">
        <v>79</v>
      </c>
      <c r="D29" s="13" t="s">
        <v>80</v>
      </c>
    </row>
    <row r="31" customFormat="false" ht="18" hidden="false" customHeight="true" outlineLevel="0" collapsed="false">
      <c r="A31" s="14" t="s">
        <v>81</v>
      </c>
      <c r="B31" s="14"/>
      <c r="C31" s="14"/>
      <c r="D31" s="14"/>
    </row>
    <row r="32" customFormat="false" ht="15.75" hidden="false" customHeight="true" outlineLevel="0" collapsed="false">
      <c r="A32" s="16" t="s">
        <v>82</v>
      </c>
      <c r="B32" s="17" t="s">
        <v>83</v>
      </c>
      <c r="C32" s="17"/>
      <c r="D32" s="17"/>
    </row>
    <row r="33" customFormat="false" ht="15.75" hidden="false" customHeight="true" outlineLevel="0" collapsed="false">
      <c r="A33" s="18" t="s">
        <v>84</v>
      </c>
      <c r="B33" s="19" t="s">
        <v>85</v>
      </c>
      <c r="C33" s="19"/>
      <c r="D33" s="19"/>
    </row>
    <row r="34" customFormat="false" ht="15.75" hidden="false" customHeight="true" outlineLevel="0" collapsed="false">
      <c r="A34" s="16" t="s">
        <v>86</v>
      </c>
      <c r="B34" s="17" t="s">
        <v>87</v>
      </c>
      <c r="C34" s="17"/>
      <c r="D34" s="17"/>
    </row>
    <row r="35" customFormat="false" ht="15.75" hidden="false" customHeight="true" outlineLevel="0" collapsed="false">
      <c r="A35" s="18" t="s">
        <v>88</v>
      </c>
      <c r="B35" s="19" t="s">
        <v>89</v>
      </c>
      <c r="C35" s="19"/>
      <c r="D35" s="19"/>
    </row>
    <row r="36" customFormat="false" ht="15.75" hidden="false" customHeight="true" outlineLevel="0" collapsed="false">
      <c r="A36" s="16" t="s">
        <v>90</v>
      </c>
      <c r="B36" s="17" t="s">
        <v>91</v>
      </c>
      <c r="C36" s="17"/>
      <c r="D36" s="17"/>
    </row>
    <row r="37" customFormat="false" ht="15.75" hidden="false" customHeight="true" outlineLevel="0" collapsed="false">
      <c r="A37" s="18" t="s">
        <v>92</v>
      </c>
      <c r="B37" s="19" t="s">
        <v>93</v>
      </c>
      <c r="C37" s="19"/>
      <c r="D37" s="19"/>
    </row>
    <row r="38" customFormat="false" ht="15.75" hidden="false" customHeight="true" outlineLevel="0" collapsed="false">
      <c r="A38" s="16" t="s">
        <v>94</v>
      </c>
      <c r="B38" s="17" t="s">
        <v>95</v>
      </c>
      <c r="C38" s="17"/>
      <c r="D38" s="17"/>
    </row>
  </sheetData>
  <mergeCells count="12">
    <mergeCell ref="A1:D2"/>
    <mergeCell ref="A3:D3"/>
    <mergeCell ref="A4:D4"/>
    <mergeCell ref="A17:D17"/>
    <mergeCell ref="A31:D31"/>
    <mergeCell ref="B32:D32"/>
    <mergeCell ref="B33:D33"/>
    <mergeCell ref="B34:D34"/>
    <mergeCell ref="B35:D35"/>
    <mergeCell ref="B36:D36"/>
    <mergeCell ref="B37:D37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8" min="3" style="1" width="12"/>
  </cols>
  <sheetData>
    <row r="1" customFormat="false" ht="27.75" hidden="false" customHeight="true" outlineLevel="0" collapsed="false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8" hidden="false" customHeight="true" outlineLevel="0" collapsed="false">
      <c r="A2" s="21" t="s">
        <v>97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customFormat="false" ht="30" hidden="false" customHeight="true" outlineLevel="0" collapsed="false">
      <c r="A3" s="22" t="s">
        <v>98</v>
      </c>
      <c r="B3" s="22" t="s">
        <v>99</v>
      </c>
      <c r="C3" s="22" t="n">
        <v>2019</v>
      </c>
      <c r="D3" s="22" t="n">
        <v>2020</v>
      </c>
      <c r="E3" s="22" t="n">
        <v>2021</v>
      </c>
      <c r="F3" s="22" t="n">
        <v>2022</v>
      </c>
      <c r="G3" s="22" t="n">
        <v>2023</v>
      </c>
      <c r="H3" s="22" t="n">
        <v>2024</v>
      </c>
    </row>
    <row r="4" customFormat="false" ht="19.5" hidden="false" customHeight="true" outlineLevel="0" collapsed="false">
      <c r="A4" s="1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customFormat="false" ht="15.75" hidden="false" customHeight="true" outlineLevel="0" collapsed="false">
      <c r="A5" s="23" t="s">
        <v>101</v>
      </c>
      <c r="B5" s="24" t="s">
        <v>102</v>
      </c>
      <c r="C5" s="25" t="n">
        <v>1100.4</v>
      </c>
      <c r="D5" s="25" t="n">
        <v>1057.9</v>
      </c>
      <c r="E5" s="25" t="n">
        <v>1336.2</v>
      </c>
      <c r="F5" s="25" t="n">
        <v>1581.4</v>
      </c>
      <c r="G5" s="25" t="n">
        <v>1638.8</v>
      </c>
      <c r="H5" s="25" t="n">
        <v>1706.5</v>
      </c>
    </row>
    <row r="6" customFormat="false" ht="15.75" hidden="false" customHeight="true" outlineLevel="0" collapsed="false">
      <c r="A6" s="26" t="s">
        <v>103</v>
      </c>
      <c r="B6" s="27" t="s">
        <v>102</v>
      </c>
      <c r="C6" s="28" t="n">
        <v>-554.8</v>
      </c>
      <c r="D6" s="28" t="n">
        <v>-525.5</v>
      </c>
      <c r="E6" s="28" t="n">
        <v>-647.3</v>
      </c>
      <c r="F6" s="28" t="n">
        <v>-772</v>
      </c>
      <c r="G6" s="28" t="n">
        <v>-817.9</v>
      </c>
      <c r="H6" s="28" t="n">
        <v>-823.2</v>
      </c>
    </row>
    <row r="7" customFormat="false" ht="15.75" hidden="false" customHeight="true" outlineLevel="0" collapsed="false">
      <c r="A7" s="23" t="s">
        <v>104</v>
      </c>
      <c r="B7" s="24" t="s">
        <v>102</v>
      </c>
      <c r="C7" s="25" t="n">
        <v>545.6</v>
      </c>
      <c r="D7" s="25" t="n">
        <v>532.4</v>
      </c>
      <c r="E7" s="25" t="n">
        <v>688.9</v>
      </c>
      <c r="F7" s="25" t="n">
        <v>809.4</v>
      </c>
      <c r="G7" s="25" t="n">
        <v>820.9</v>
      </c>
      <c r="H7" s="25" t="n">
        <v>883.3</v>
      </c>
    </row>
    <row r="8" customFormat="false" ht="15.75" hidden="false" customHeight="true" outlineLevel="0" collapsed="false">
      <c r="A8" s="26" t="s">
        <v>105</v>
      </c>
      <c r="B8" s="27" t="s">
        <v>102</v>
      </c>
      <c r="C8" s="28" t="n">
        <v>-418.7</v>
      </c>
      <c r="D8" s="28" t="n">
        <v>-416.4</v>
      </c>
      <c r="E8" s="28" t="n">
        <v>-522.5</v>
      </c>
      <c r="F8" s="28" t="n">
        <v>-591.7</v>
      </c>
      <c r="G8" s="28" t="n">
        <v>-622.1</v>
      </c>
      <c r="H8" s="28" t="n">
        <v>-670</v>
      </c>
    </row>
    <row r="9" customFormat="false" ht="15.75" hidden="false" customHeight="true" outlineLevel="0" collapsed="false">
      <c r="A9" s="23" t="s">
        <v>106</v>
      </c>
      <c r="B9" s="24" t="s">
        <v>102</v>
      </c>
      <c r="C9" s="25" t="n">
        <v>126.9</v>
      </c>
      <c r="D9" s="25" t="n">
        <v>116</v>
      </c>
      <c r="E9" s="25" t="n">
        <v>166.4</v>
      </c>
      <c r="F9" s="25" t="n">
        <v>217.7</v>
      </c>
      <c r="G9" s="25" t="n">
        <v>198.8</v>
      </c>
      <c r="H9" s="25" t="n">
        <v>213.3</v>
      </c>
    </row>
    <row r="10" customFormat="false" ht="15.75" hidden="false" customHeight="true" outlineLevel="0" collapsed="false">
      <c r="A10" s="26" t="s">
        <v>107</v>
      </c>
      <c r="B10" s="27" t="s">
        <v>102</v>
      </c>
      <c r="C10" s="28" t="n">
        <v>0.9</v>
      </c>
      <c r="D10" s="28" t="n">
        <v>0.4</v>
      </c>
      <c r="E10" s="28" t="n">
        <v>0.1</v>
      </c>
      <c r="F10" s="28" t="n">
        <v>1.2</v>
      </c>
      <c r="G10" s="28" t="n">
        <v>1.7</v>
      </c>
      <c r="H10" s="28" t="n">
        <v>2</v>
      </c>
    </row>
    <row r="11" customFormat="false" ht="15.75" hidden="false" customHeight="true" outlineLevel="0" collapsed="false">
      <c r="A11" s="23" t="s">
        <v>108</v>
      </c>
      <c r="B11" s="24" t="s">
        <v>102</v>
      </c>
      <c r="C11" s="25" t="n">
        <v>-1.9</v>
      </c>
      <c r="D11" s="25" t="n">
        <v>-7.3</v>
      </c>
      <c r="E11" s="25" t="n">
        <v>-8.7</v>
      </c>
      <c r="F11" s="25" t="n">
        <v>-6.1</v>
      </c>
      <c r="G11" s="25" t="n">
        <v>-7.8</v>
      </c>
      <c r="H11" s="25" t="n">
        <v>-9.9</v>
      </c>
    </row>
    <row r="12" customFormat="false" ht="15.75" hidden="false" customHeight="true" outlineLevel="0" collapsed="false">
      <c r="A12" s="26" t="s">
        <v>109</v>
      </c>
      <c r="B12" s="27" t="s">
        <v>102</v>
      </c>
      <c r="C12" s="28" t="n">
        <v>125.9</v>
      </c>
      <c r="D12" s="28" t="n">
        <v>109.1</v>
      </c>
      <c r="E12" s="28" t="n">
        <v>157.8</v>
      </c>
      <c r="F12" s="28" t="n">
        <v>212.8</v>
      </c>
      <c r="G12" s="28" t="n">
        <v>192.7</v>
      </c>
      <c r="H12" s="28" t="n">
        <v>205.4</v>
      </c>
    </row>
    <row r="13" customFormat="false" ht="15.75" hidden="false" customHeight="true" outlineLevel="0" collapsed="false">
      <c r="A13" s="23" t="s">
        <v>110</v>
      </c>
      <c r="B13" s="24" t="s">
        <v>102</v>
      </c>
      <c r="C13" s="25" t="n">
        <v>-24.6</v>
      </c>
      <c r="D13" s="25" t="n">
        <v>-21.4</v>
      </c>
      <c r="E13" s="25" t="n">
        <v>-28.9</v>
      </c>
      <c r="F13" s="25" t="n">
        <v>-41.6</v>
      </c>
      <c r="G13" s="25" t="n">
        <v>-40.8</v>
      </c>
      <c r="H13" s="25" t="n">
        <v>-54.2</v>
      </c>
    </row>
    <row r="14" customFormat="false" ht="15.75" hidden="false" customHeight="true" outlineLevel="0" collapsed="false">
      <c r="A14" s="26" t="s">
        <v>111</v>
      </c>
      <c r="B14" s="27" t="s">
        <v>102</v>
      </c>
      <c r="C14" s="28" t="n">
        <v>101.3</v>
      </c>
      <c r="D14" s="28" t="n">
        <v>87.7</v>
      </c>
      <c r="E14" s="28" t="n">
        <v>128.9</v>
      </c>
      <c r="F14" s="28" t="n">
        <v>171.2</v>
      </c>
      <c r="G14" s="28" t="n">
        <v>151.9</v>
      </c>
      <c r="H14" s="28" t="n">
        <v>151.2</v>
      </c>
    </row>
    <row r="15" customFormat="false" ht="15.75" hidden="false" customHeight="true" outlineLevel="0" collapsed="false">
      <c r="A15" s="23" t="s">
        <v>112</v>
      </c>
      <c r="B15" s="24" t="s">
        <v>113</v>
      </c>
      <c r="C15" s="29" t="n">
        <v>50.2</v>
      </c>
      <c r="D15" s="29" t="n">
        <v>43.4</v>
      </c>
      <c r="E15" s="29" t="n">
        <v>63.7</v>
      </c>
      <c r="F15" s="29" t="n">
        <v>84.5</v>
      </c>
      <c r="G15" s="29" t="n">
        <v>75.2</v>
      </c>
      <c r="H15" s="29" t="n">
        <v>74.7</v>
      </c>
    </row>
    <row r="16" customFormat="false" ht="15.75" hidden="false" customHeight="true" outlineLevel="0" collapsed="false">
      <c r="A16" s="26" t="s">
        <v>114</v>
      </c>
      <c r="B16" s="27" t="s">
        <v>113</v>
      </c>
      <c r="C16" s="30" t="n">
        <v>49.9</v>
      </c>
      <c r="D16" s="30" t="n">
        <v>42.9</v>
      </c>
      <c r="E16" s="30" t="n">
        <v>62.9</v>
      </c>
      <c r="F16" s="30" t="n">
        <v>83.6</v>
      </c>
      <c r="G16" s="30" t="n">
        <v>75</v>
      </c>
      <c r="H16" s="30" t="n">
        <v>74.4</v>
      </c>
    </row>
    <row r="17" customFormat="false" ht="15.75" hidden="false" customHeight="true" outlineLevel="0" collapsed="false"/>
    <row r="18" customFormat="false" ht="19.5" hidden="false" customHeight="true" outlineLevel="0" collapsed="false">
      <c r="A18" s="14" t="s">
        <v>115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customFormat="false" ht="15.75" hidden="false" customHeight="true" outlineLevel="0" collapsed="false">
      <c r="A19" s="23" t="s">
        <v>116</v>
      </c>
      <c r="B19" s="24" t="s">
        <v>102</v>
      </c>
      <c r="C19" s="25" t="n">
        <v>209.7</v>
      </c>
      <c r="D19" s="25" t="n">
        <v>487.2</v>
      </c>
      <c r="E19" s="25" t="n">
        <v>451.1</v>
      </c>
      <c r="F19" s="25" t="n">
        <v>440.8</v>
      </c>
      <c r="G19" s="25" t="n">
        <v>413.4</v>
      </c>
      <c r="H19" s="25" t="n">
        <v>409.1</v>
      </c>
    </row>
    <row r="20" customFormat="false" ht="15.75" hidden="false" customHeight="true" outlineLevel="0" collapsed="false">
      <c r="A20" s="26" t="s">
        <v>117</v>
      </c>
      <c r="B20" s="27" t="s">
        <v>102</v>
      </c>
      <c r="C20" s="28" t="n">
        <v>157.7</v>
      </c>
      <c r="D20" s="28" t="n">
        <v>118.2</v>
      </c>
      <c r="E20" s="28" t="n">
        <v>172.4</v>
      </c>
      <c r="F20" s="28" t="n">
        <v>223</v>
      </c>
      <c r="G20" s="28" t="n">
        <v>211</v>
      </c>
      <c r="H20" s="28" t="n">
        <v>223</v>
      </c>
    </row>
    <row r="21" customFormat="false" ht="15.75" hidden="false" customHeight="true" outlineLevel="0" collapsed="false">
      <c r="A21" s="23" t="s">
        <v>118</v>
      </c>
      <c r="B21" s="24" t="s">
        <v>102</v>
      </c>
      <c r="C21" s="25" t="n">
        <v>180.6</v>
      </c>
      <c r="D21" s="25" t="n">
        <v>175.4</v>
      </c>
      <c r="E21" s="25" t="n">
        <v>162.6</v>
      </c>
      <c r="F21" s="25" t="n">
        <v>173.7</v>
      </c>
      <c r="G21" s="25" t="n">
        <v>169.9</v>
      </c>
      <c r="H21" s="25" t="n">
        <v>173</v>
      </c>
    </row>
    <row r="22" customFormat="false" ht="15.75" hidden="false" customHeight="true" outlineLevel="0" collapsed="false">
      <c r="A22" s="26" t="s">
        <v>119</v>
      </c>
      <c r="B22" s="27" t="s">
        <v>102</v>
      </c>
      <c r="C22" s="28" t="n">
        <v>0</v>
      </c>
      <c r="D22" s="28" t="n">
        <v>283.3</v>
      </c>
      <c r="E22" s="28" t="n">
        <v>262</v>
      </c>
      <c r="F22" s="28" t="n">
        <v>248.5</v>
      </c>
      <c r="G22" s="28" t="n">
        <v>231.3</v>
      </c>
      <c r="H22" s="28" t="n">
        <v>222.9</v>
      </c>
    </row>
    <row r="23" customFormat="false" ht="15.75" hidden="false" customHeight="true" outlineLevel="0" collapsed="false">
      <c r="A23" s="23" t="s">
        <v>120</v>
      </c>
      <c r="B23" s="24" t="s">
        <v>102</v>
      </c>
      <c r="C23" s="25" t="n">
        <v>207.4</v>
      </c>
      <c r="D23" s="25" t="n">
        <v>228.8</v>
      </c>
      <c r="E23" s="25" t="n">
        <v>315.6</v>
      </c>
      <c r="F23" s="25" t="n">
        <v>297.1</v>
      </c>
      <c r="G23" s="25" t="n">
        <v>283.4</v>
      </c>
      <c r="H23" s="25" t="n">
        <v>272.9</v>
      </c>
    </row>
    <row r="24" customFormat="false" ht="15.75" hidden="false" customHeight="true" outlineLevel="0" collapsed="false">
      <c r="A24" s="26" t="s">
        <v>117</v>
      </c>
      <c r="B24" s="27" t="s">
        <v>102</v>
      </c>
      <c r="C24" s="28" t="n">
        <v>157.7</v>
      </c>
      <c r="D24" s="28" t="n">
        <v>118.2</v>
      </c>
      <c r="E24" s="28" t="n">
        <v>172.4</v>
      </c>
      <c r="F24" s="28" t="n">
        <v>223</v>
      </c>
      <c r="G24" s="28" t="n">
        <v>211</v>
      </c>
      <c r="H24" s="28" t="n">
        <v>223</v>
      </c>
    </row>
    <row r="25" customFormat="false" ht="15.75" hidden="false" customHeight="true" outlineLevel="0" collapsed="false">
      <c r="A25" s="23" t="s">
        <v>121</v>
      </c>
      <c r="B25" s="24" t="s">
        <v>102</v>
      </c>
      <c r="C25" s="25" t="n">
        <v>25.6</v>
      </c>
      <c r="D25" s="25" t="n">
        <v>15.6</v>
      </c>
      <c r="E25" s="25" t="n">
        <v>11.8</v>
      </c>
      <c r="F25" s="25" t="n">
        <v>22.9</v>
      </c>
      <c r="G25" s="25" t="n">
        <v>24.3</v>
      </c>
      <c r="H25" s="25" t="n">
        <v>26.2</v>
      </c>
    </row>
    <row r="26" customFormat="false" ht="15.75" hidden="false" customHeight="true" outlineLevel="0" collapsed="false">
      <c r="A26" s="26" t="s">
        <v>122</v>
      </c>
      <c r="B26" s="27" t="s">
        <v>102</v>
      </c>
      <c r="C26" s="28" t="n">
        <v>19</v>
      </c>
      <c r="D26" s="28" t="n">
        <v>90</v>
      </c>
      <c r="E26" s="28" t="n">
        <v>128.6</v>
      </c>
      <c r="F26" s="28" t="n">
        <v>30.2</v>
      </c>
      <c r="G26" s="28" t="n">
        <v>46.3</v>
      </c>
      <c r="H26" s="28" t="n">
        <v>23.4</v>
      </c>
    </row>
    <row r="27" customFormat="false" ht="15.75" hidden="false" customHeight="true" outlineLevel="0" collapsed="false">
      <c r="A27" s="23" t="s">
        <v>123</v>
      </c>
      <c r="B27" s="24" t="s">
        <v>102</v>
      </c>
      <c r="C27" s="25" t="n">
        <v>417.1</v>
      </c>
      <c r="D27" s="25" t="n">
        <v>716</v>
      </c>
      <c r="E27" s="25" t="n">
        <v>766.7</v>
      </c>
      <c r="F27" s="25" t="n">
        <v>737.9</v>
      </c>
      <c r="G27" s="25" t="n">
        <v>696.8</v>
      </c>
      <c r="H27" s="25" t="n">
        <v>682</v>
      </c>
    </row>
    <row r="28" customFormat="false" ht="15.75" hidden="false" customHeight="true" outlineLevel="0" collapsed="false">
      <c r="A28" s="26" t="s">
        <v>124</v>
      </c>
      <c r="B28" s="27" t="s">
        <v>102</v>
      </c>
      <c r="C28" s="28" t="n">
        <v>-149.8</v>
      </c>
      <c r="D28" s="28" t="n">
        <v>-227.8</v>
      </c>
      <c r="E28" s="28" t="n">
        <v>-235.9</v>
      </c>
      <c r="F28" s="28" t="n">
        <v>-276</v>
      </c>
      <c r="G28" s="28" t="n">
        <v>-269.6</v>
      </c>
      <c r="H28" s="28" t="n">
        <v>-263.5</v>
      </c>
    </row>
    <row r="29" customFormat="false" ht="15.75" hidden="false" customHeight="true" outlineLevel="0" collapsed="false">
      <c r="A29" s="23" t="s">
        <v>125</v>
      </c>
      <c r="B29" s="24" t="s">
        <v>102</v>
      </c>
      <c r="C29" s="25" t="n">
        <v>-136.3</v>
      </c>
      <c r="D29" s="25" t="n">
        <v>-177.2</v>
      </c>
      <c r="E29" s="25" t="n">
        <v>-181.8</v>
      </c>
      <c r="F29" s="25" t="n">
        <v>-223.2</v>
      </c>
      <c r="G29" s="25" t="n">
        <v>-208.1</v>
      </c>
      <c r="H29" s="25" t="n">
        <v>-205</v>
      </c>
    </row>
    <row r="30" customFormat="false" ht="15.75" hidden="false" customHeight="true" outlineLevel="0" collapsed="false">
      <c r="A30" s="26" t="s">
        <v>126</v>
      </c>
      <c r="B30" s="27" t="s">
        <v>102</v>
      </c>
      <c r="C30" s="28" t="n">
        <v>0</v>
      </c>
      <c r="D30" s="28" t="n">
        <v>-48</v>
      </c>
      <c r="E30" s="28" t="n">
        <v>-49</v>
      </c>
      <c r="F30" s="28" t="n">
        <v>-52.8</v>
      </c>
      <c r="G30" s="28" t="n">
        <v>-53.4</v>
      </c>
      <c r="H30" s="28" t="n">
        <v>-52.1</v>
      </c>
    </row>
    <row r="31" customFormat="false" ht="15.75" hidden="false" customHeight="true" outlineLevel="0" collapsed="false">
      <c r="A31" s="23" t="s">
        <v>127</v>
      </c>
      <c r="B31" s="24" t="s">
        <v>102</v>
      </c>
      <c r="C31" s="25" t="n">
        <v>-81.5</v>
      </c>
      <c r="D31" s="25" t="n">
        <v>-314.8</v>
      </c>
      <c r="E31" s="25" t="n">
        <v>-249.6</v>
      </c>
      <c r="F31" s="25" t="n">
        <v>-283.6</v>
      </c>
      <c r="G31" s="25" t="n">
        <v>-289.7</v>
      </c>
      <c r="H31" s="25" t="n">
        <v>-280.6</v>
      </c>
    </row>
    <row r="32" customFormat="false" ht="15.75" hidden="false" customHeight="true" outlineLevel="0" collapsed="false">
      <c r="A32" s="26" t="s">
        <v>128</v>
      </c>
      <c r="B32" s="27" t="s">
        <v>102</v>
      </c>
      <c r="C32" s="28" t="n">
        <v>-44.3</v>
      </c>
      <c r="D32" s="28" t="n">
        <v>-44.6</v>
      </c>
      <c r="E32" s="28" t="n">
        <v>0</v>
      </c>
      <c r="F32" s="28" t="n">
        <v>-52.8</v>
      </c>
      <c r="G32" s="28" t="n">
        <v>-75.9</v>
      </c>
      <c r="H32" s="28" t="n">
        <v>-77</v>
      </c>
    </row>
    <row r="33" customFormat="false" ht="15.75" hidden="false" customHeight="true" outlineLevel="0" collapsed="false">
      <c r="A33" s="23" t="s">
        <v>129</v>
      </c>
      <c r="B33" s="24" t="s">
        <v>102</v>
      </c>
      <c r="C33" s="25" t="n">
        <v>0</v>
      </c>
      <c r="D33" s="25" t="n">
        <v>-266.4</v>
      </c>
      <c r="E33" s="25" t="n">
        <v>-244.3</v>
      </c>
      <c r="F33" s="25" t="n">
        <v>-225.3</v>
      </c>
      <c r="G33" s="25" t="n">
        <v>-204.8</v>
      </c>
      <c r="H33" s="25" t="n">
        <v>-197.5</v>
      </c>
    </row>
    <row r="34" customFormat="false" ht="15.75" hidden="false" customHeight="true" outlineLevel="0" collapsed="false">
      <c r="A34" s="26" t="s">
        <v>130</v>
      </c>
      <c r="B34" s="27" t="s">
        <v>102</v>
      </c>
      <c r="C34" s="28" t="n">
        <v>-231.3</v>
      </c>
      <c r="D34" s="28" t="n">
        <v>-542.6</v>
      </c>
      <c r="E34" s="28" t="n">
        <v>-485.5</v>
      </c>
      <c r="F34" s="28" t="n">
        <v>-559.6</v>
      </c>
      <c r="G34" s="28" t="n">
        <v>-559.3</v>
      </c>
      <c r="H34" s="28" t="n">
        <v>-544.1</v>
      </c>
    </row>
    <row r="35" customFormat="false" ht="15.75" hidden="false" customHeight="true" outlineLevel="0" collapsed="false">
      <c r="A35" s="23" t="s">
        <v>131</v>
      </c>
      <c r="B35" s="24" t="s">
        <v>102</v>
      </c>
      <c r="C35" s="25" t="n">
        <v>185.8</v>
      </c>
      <c r="D35" s="25" t="n">
        <v>173.4</v>
      </c>
      <c r="E35" s="25" t="n">
        <v>281.2</v>
      </c>
      <c r="F35" s="25" t="n">
        <v>178.3</v>
      </c>
      <c r="G35" s="25" t="n">
        <v>137.5</v>
      </c>
      <c r="H35" s="25" t="n">
        <v>137.9</v>
      </c>
    </row>
    <row r="36" customFormat="false" ht="15.75" hidden="false" customHeight="true" outlineLevel="0" collapsed="false">
      <c r="A36" s="26" t="s">
        <v>132</v>
      </c>
      <c r="B36" s="27" t="s">
        <v>102</v>
      </c>
      <c r="C36" s="28" t="n">
        <v>134</v>
      </c>
      <c r="D36" s="28" t="n">
        <v>121.3</v>
      </c>
      <c r="E36" s="28" t="n">
        <v>238.7</v>
      </c>
      <c r="F36" s="28" t="n">
        <v>111.2</v>
      </c>
      <c r="G36" s="28" t="n">
        <v>97.5</v>
      </c>
      <c r="H36" s="28" t="n">
        <v>94.8</v>
      </c>
    </row>
    <row r="37" customFormat="false" ht="7.5" hidden="false" customHeight="true" outlineLevel="0" collapsed="false"/>
    <row r="38" customFormat="false" ht="19.5" hidden="false" customHeight="true" outlineLevel="0" collapsed="false">
      <c r="A38" s="14" t="s">
        <v>133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customFormat="false" ht="15.75" hidden="false" customHeight="true" outlineLevel="0" collapsed="false">
      <c r="A39" s="23" t="s">
        <v>134</v>
      </c>
      <c r="B39" s="24" t="s">
        <v>102</v>
      </c>
      <c r="C39" s="25" t="n">
        <v>174</v>
      </c>
      <c r="D39" s="25" t="n">
        <v>244.1</v>
      </c>
      <c r="E39" s="25" t="n">
        <v>184.2</v>
      </c>
      <c r="F39" s="25" t="n">
        <v>251.8</v>
      </c>
      <c r="G39" s="25" t="n">
        <v>240.6</v>
      </c>
      <c r="H39" s="25" t="n">
        <v>232.3</v>
      </c>
    </row>
    <row r="40" customFormat="false" ht="15.75" hidden="false" customHeight="true" outlineLevel="0" collapsed="false">
      <c r="A40" s="26" t="s">
        <v>135</v>
      </c>
      <c r="B40" s="27" t="s">
        <v>102</v>
      </c>
      <c r="C40" s="28" t="n">
        <v>32.7</v>
      </c>
      <c r="D40" s="28" t="n">
        <v>33.2</v>
      </c>
      <c r="E40" s="28" t="n">
        <v>31.8</v>
      </c>
      <c r="F40" s="28" t="n">
        <v>30.5</v>
      </c>
      <c r="G40" s="28" t="n">
        <v>29.8</v>
      </c>
      <c r="H40" s="28" t="n">
        <v>30.4</v>
      </c>
    </row>
    <row r="41" customFormat="false" ht="15.75" hidden="false" customHeight="true" outlineLevel="0" collapsed="false">
      <c r="A41" s="23" t="s">
        <v>136</v>
      </c>
      <c r="B41" s="24" t="s">
        <v>102</v>
      </c>
      <c r="C41" s="25" t="n">
        <v>0</v>
      </c>
      <c r="D41" s="25" t="n">
        <v>45.1</v>
      </c>
      <c r="E41" s="25" t="n">
        <v>45.7</v>
      </c>
      <c r="F41" s="25" t="n">
        <v>48.6</v>
      </c>
      <c r="G41" s="25" t="n">
        <v>49.3</v>
      </c>
      <c r="H41" s="25" t="n">
        <v>50.2</v>
      </c>
    </row>
    <row r="42" customFormat="false" ht="15.75" hidden="false" customHeight="true" outlineLevel="0" collapsed="false">
      <c r="A42" s="26" t="s">
        <v>137</v>
      </c>
      <c r="B42" s="27" t="s">
        <v>102</v>
      </c>
      <c r="C42" s="28" t="n">
        <v>-12</v>
      </c>
      <c r="D42" s="28" t="n">
        <v>-20.5</v>
      </c>
      <c r="E42" s="28" t="n">
        <v>-15.1</v>
      </c>
      <c r="F42" s="28" t="n">
        <v>-23.3</v>
      </c>
      <c r="G42" s="28" t="n">
        <v>-21.4</v>
      </c>
      <c r="H42" s="28" t="n">
        <v>-29.8</v>
      </c>
    </row>
    <row r="43" customFormat="false" ht="15.75" hidden="false" customHeight="true" outlineLevel="0" collapsed="false">
      <c r="A43" s="23" t="s">
        <v>138</v>
      </c>
      <c r="B43" s="24" t="s">
        <v>102</v>
      </c>
      <c r="C43" s="25" t="n">
        <v>-13</v>
      </c>
      <c r="D43" s="25" t="n">
        <v>-4.4</v>
      </c>
      <c r="E43" s="25" t="n">
        <v>-0.6</v>
      </c>
      <c r="F43" s="25" t="n">
        <v>-0.7</v>
      </c>
      <c r="G43" s="25" t="n">
        <v>-0.4</v>
      </c>
      <c r="H43" s="25" t="n">
        <v>-2.6</v>
      </c>
    </row>
    <row r="44" customFormat="false" ht="15.75" hidden="false" customHeight="true" outlineLevel="0" collapsed="false">
      <c r="A44" s="26" t="s">
        <v>139</v>
      </c>
      <c r="B44" s="27" t="s">
        <v>102</v>
      </c>
      <c r="C44" s="28" t="n">
        <v>-19.6</v>
      </c>
      <c r="D44" s="28" t="n">
        <v>-24.8</v>
      </c>
      <c r="E44" s="28" t="n">
        <v>-15.6</v>
      </c>
      <c r="F44" s="28" t="n">
        <v>-41.6</v>
      </c>
      <c r="G44" s="28" t="n">
        <v>-20.7</v>
      </c>
      <c r="H44" s="28" t="n">
        <v>-38.3</v>
      </c>
    </row>
    <row r="45" customFormat="false" ht="15.75" hidden="false" customHeight="true" outlineLevel="0" collapsed="false">
      <c r="A45" s="23" t="s">
        <v>140</v>
      </c>
      <c r="B45" s="24" t="s">
        <v>102</v>
      </c>
      <c r="C45" s="25" t="n">
        <v>-54.6</v>
      </c>
      <c r="D45" s="25" t="n">
        <v>-106</v>
      </c>
      <c r="E45" s="25" t="n">
        <v>-24.3</v>
      </c>
      <c r="F45" s="25" t="n">
        <v>-282.1</v>
      </c>
      <c r="G45" s="25" t="n">
        <v>-163.3</v>
      </c>
      <c r="H45" s="25" t="n">
        <v>-157.6</v>
      </c>
    </row>
    <row r="46" customFormat="false" ht="15.75" hidden="false" customHeight="true" outlineLevel="0" collapsed="false">
      <c r="A46" s="26" t="s">
        <v>141</v>
      </c>
      <c r="B46" s="27" t="s">
        <v>102</v>
      </c>
      <c r="C46" s="28" t="n">
        <v>25</v>
      </c>
      <c r="D46" s="28" t="n">
        <v>165</v>
      </c>
      <c r="E46" s="28" t="n">
        <v>0</v>
      </c>
      <c r="F46" s="28" t="n">
        <v>85</v>
      </c>
      <c r="G46" s="28" t="n">
        <v>139</v>
      </c>
      <c r="H46" s="28" t="n">
        <v>110</v>
      </c>
    </row>
    <row r="47" customFormat="false" ht="15.75" hidden="false" customHeight="true" outlineLevel="0" collapsed="false">
      <c r="A47" s="23" t="s">
        <v>142</v>
      </c>
      <c r="B47" s="24" t="s">
        <v>102</v>
      </c>
      <c r="C47" s="25" t="n">
        <v>-120</v>
      </c>
      <c r="D47" s="25" t="n">
        <v>-165</v>
      </c>
      <c r="E47" s="25" t="n">
        <v>-45</v>
      </c>
      <c r="F47" s="25" t="n">
        <v>-31</v>
      </c>
      <c r="G47" s="25" t="n">
        <v>-116</v>
      </c>
      <c r="H47" s="25" t="n">
        <v>-108</v>
      </c>
    </row>
    <row r="48" customFormat="false" ht="15.75" hidden="false" customHeight="true" outlineLevel="0" collapsed="false">
      <c r="A48" s="26" t="s">
        <v>143</v>
      </c>
      <c r="B48" s="27" t="s">
        <v>102</v>
      </c>
      <c r="C48" s="28" t="n">
        <v>-151</v>
      </c>
      <c r="D48" s="28" t="n">
        <v>-148.6</v>
      </c>
      <c r="E48" s="28" t="n">
        <v>-127.6</v>
      </c>
      <c r="F48" s="28" t="n">
        <v>-309.7</v>
      </c>
      <c r="G48" s="28" t="n">
        <v>-204.4</v>
      </c>
      <c r="H48" s="28" t="n">
        <v>-217.3</v>
      </c>
    </row>
    <row r="49" customFormat="false" ht="15.75" hidden="false" customHeight="true" outlineLevel="0" collapsed="false">
      <c r="A49" s="23" t="s">
        <v>144</v>
      </c>
      <c r="B49" s="24" t="s">
        <v>102</v>
      </c>
      <c r="C49" s="25" t="n">
        <v>3.4</v>
      </c>
      <c r="D49" s="25" t="n">
        <v>70.7</v>
      </c>
      <c r="E49" s="25" t="n">
        <v>41</v>
      </c>
      <c r="F49" s="25" t="n">
        <v>-99.5</v>
      </c>
      <c r="G49" s="25" t="n">
        <v>15.5</v>
      </c>
      <c r="H49" s="25" t="n">
        <v>-23.3</v>
      </c>
    </row>
    <row r="50" customFormat="false" ht="15.75" hidden="false" customHeight="true" outlineLevel="0" collapsed="false">
      <c r="A50" s="26" t="s">
        <v>145</v>
      </c>
      <c r="B50" s="27" t="s">
        <v>102</v>
      </c>
      <c r="C50" s="28" t="n">
        <v>19</v>
      </c>
      <c r="D50" s="28" t="n">
        <v>90</v>
      </c>
      <c r="E50" s="28" t="n">
        <v>128.6</v>
      </c>
      <c r="F50" s="28" t="n">
        <v>30.2</v>
      </c>
      <c r="G50" s="28" t="n">
        <v>46.3</v>
      </c>
      <c r="H50" s="28" t="n">
        <v>23.4</v>
      </c>
    </row>
    <row r="51" customFormat="false" ht="7.5" hidden="false" customHeight="true" outlineLevel="0" collapsed="false"/>
    <row r="52" customFormat="false" ht="19.5" hidden="false" customHeight="true" outlineLevel="0" collapsed="false">
      <c r="A52" s="14" t="s">
        <v>146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customFormat="false" ht="15.75" hidden="false" customHeight="true" outlineLevel="0" collapsed="false">
      <c r="A53" s="23" t="s">
        <v>147</v>
      </c>
      <c r="B53" s="24" t="s">
        <v>148</v>
      </c>
      <c r="C53" s="25" t="n">
        <v>201.8</v>
      </c>
      <c r="D53" s="25" t="n">
        <v>202</v>
      </c>
      <c r="E53" s="25" t="n">
        <v>202.2</v>
      </c>
      <c r="F53" s="25" t="n">
        <v>202.6</v>
      </c>
      <c r="G53" s="25" t="n">
        <v>202</v>
      </c>
      <c r="H53" s="25" t="n">
        <v>202.5</v>
      </c>
    </row>
    <row r="54" customFormat="false" ht="15.75" hidden="false" customHeight="true" outlineLevel="0" collapsed="false">
      <c r="A54" s="26" t="s">
        <v>149</v>
      </c>
      <c r="B54" s="27" t="s">
        <v>102</v>
      </c>
      <c r="C54" s="28" t="n">
        <v>54.6</v>
      </c>
      <c r="D54" s="28" t="n">
        <v>106</v>
      </c>
      <c r="E54" s="28" t="n">
        <v>24.3</v>
      </c>
      <c r="F54" s="28" t="n">
        <v>282.1</v>
      </c>
      <c r="G54" s="28" t="n">
        <v>163.3</v>
      </c>
      <c r="H54" s="28" t="n">
        <v>157.6</v>
      </c>
    </row>
    <row r="55" customFormat="false" ht="15.75" hidden="false" customHeight="true" outlineLevel="0" collapsed="false">
      <c r="A55" s="23" t="s">
        <v>150</v>
      </c>
      <c r="B55" s="24" t="s">
        <v>113</v>
      </c>
      <c r="C55" s="29" t="n">
        <v>27.1</v>
      </c>
      <c r="D55" s="29" t="n">
        <v>52.5</v>
      </c>
      <c r="E55" s="29" t="n">
        <v>12</v>
      </c>
      <c r="F55" s="29" t="n">
        <v>139.2</v>
      </c>
      <c r="G55" s="29" t="n">
        <v>80.8</v>
      </c>
      <c r="H55" s="29" t="n">
        <v>77.8</v>
      </c>
    </row>
    <row r="56" customFormat="false" ht="15.75" hidden="false" customHeight="true" outlineLevel="0" collapsed="false">
      <c r="A56" s="26" t="s">
        <v>151</v>
      </c>
      <c r="B56" s="27" t="s">
        <v>152</v>
      </c>
      <c r="C56" s="31" t="n">
        <v>0.195</v>
      </c>
      <c r="D56" s="31" t="n">
        <v>0.196</v>
      </c>
      <c r="E56" s="31" t="n">
        <v>0.183</v>
      </c>
      <c r="F56" s="31" t="n">
        <v>0.196</v>
      </c>
      <c r="G56" s="31" t="n">
        <v>0.212</v>
      </c>
      <c r="H56" s="31" t="n">
        <v>0.264</v>
      </c>
    </row>
  </sheetData>
  <mergeCells count="6">
    <mergeCell ref="A1:P1"/>
    <mergeCell ref="A2:P2"/>
    <mergeCell ref="A4:P4"/>
    <mergeCell ref="A18:P18"/>
    <mergeCell ref="A38:P38"/>
    <mergeCell ref="A52:P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8" min="3" style="1" width="12"/>
  </cols>
  <sheetData>
    <row r="1" customFormat="false" ht="27.75" hidden="false" customHeight="true" outlineLevel="0" collapsed="false">
      <c r="A1" s="20" t="s">
        <v>153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8" hidden="false" customHeight="true" outlineLevel="0" collapsed="false">
      <c r="A2" s="21" t="s">
        <v>154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customFormat="false" ht="30" hidden="false" customHeight="true" outlineLevel="0" collapsed="false">
      <c r="A3" s="22" t="s">
        <v>98</v>
      </c>
      <c r="B3" s="22" t="s">
        <v>99</v>
      </c>
      <c r="C3" s="22" t="n">
        <v>2020</v>
      </c>
      <c r="D3" s="22" t="n">
        <v>2021</v>
      </c>
      <c r="E3" s="22" t="n">
        <v>2022</v>
      </c>
      <c r="F3" s="22" t="n">
        <v>2023</v>
      </c>
      <c r="G3" s="22" t="n">
        <v>2024</v>
      </c>
      <c r="H3" s="22" t="n">
        <v>2025</v>
      </c>
    </row>
    <row r="4" customFormat="false" ht="19.5" hidden="false" customHeight="true" outlineLevel="0" collapsed="false">
      <c r="A4" s="1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customFormat="false" ht="15.75" hidden="false" customHeight="true" outlineLevel="0" collapsed="false">
      <c r="A5" s="23" t="s">
        <v>101</v>
      </c>
      <c r="B5" s="24" t="s">
        <v>102</v>
      </c>
      <c r="C5" s="25" t="n">
        <v>402.5</v>
      </c>
      <c r="D5" s="25" t="n">
        <v>393.3</v>
      </c>
      <c r="E5" s="25" t="n">
        <v>401</v>
      </c>
      <c r="F5" s="25" t="n">
        <v>472.6</v>
      </c>
      <c r="G5" s="25" t="n">
        <v>488.3</v>
      </c>
      <c r="H5" s="25" t="n">
        <v>497.5</v>
      </c>
    </row>
    <row r="6" customFormat="false" ht="15.75" hidden="false" customHeight="true" outlineLevel="0" collapsed="false">
      <c r="A6" s="26" t="s">
        <v>155</v>
      </c>
      <c r="B6" s="27" t="s">
        <v>102</v>
      </c>
      <c r="C6" s="28" t="n">
        <v>46.3</v>
      </c>
      <c r="D6" s="28" t="n">
        <v>50.4</v>
      </c>
      <c r="E6" s="28" t="n">
        <v>49.4</v>
      </c>
      <c r="F6" s="28" t="n">
        <v>45.4</v>
      </c>
      <c r="G6" s="28" t="n">
        <v>56.6</v>
      </c>
      <c r="H6" s="28" t="n">
        <v>73.4</v>
      </c>
    </row>
    <row r="7" customFormat="false" ht="15.75" hidden="false" customHeight="true" outlineLevel="0" collapsed="false">
      <c r="A7" s="23" t="s">
        <v>156</v>
      </c>
      <c r="B7" s="24" t="s">
        <v>102</v>
      </c>
      <c r="C7" s="25" t="n">
        <v>54.7</v>
      </c>
      <c r="D7" s="25" t="n">
        <v>57.5</v>
      </c>
      <c r="E7" s="25" t="n">
        <v>59.4</v>
      </c>
      <c r="F7" s="25" t="n">
        <v>69.2</v>
      </c>
      <c r="G7" s="32" t="s">
        <v>157</v>
      </c>
      <c r="H7" s="32" t="s">
        <v>157</v>
      </c>
    </row>
    <row r="8" customFormat="false" ht="15.75" hidden="false" customHeight="true" outlineLevel="0" collapsed="false">
      <c r="A8" s="26" t="s">
        <v>158</v>
      </c>
      <c r="B8" s="27" t="s">
        <v>102</v>
      </c>
      <c r="C8" s="28" t="n">
        <v>-3</v>
      </c>
      <c r="D8" s="28" t="n">
        <v>-1.6</v>
      </c>
      <c r="E8" s="28" t="n">
        <v>-1.5</v>
      </c>
      <c r="F8" s="28" t="n">
        <v>-1.3</v>
      </c>
      <c r="G8" s="28" t="n">
        <v>-4.8</v>
      </c>
      <c r="H8" s="28" t="n">
        <v>-5.7</v>
      </c>
    </row>
    <row r="9" customFormat="false" ht="15.75" hidden="false" customHeight="true" outlineLevel="0" collapsed="false">
      <c r="A9" s="23" t="s">
        <v>159</v>
      </c>
      <c r="B9" s="24" t="s">
        <v>102</v>
      </c>
      <c r="C9" s="25" t="n">
        <v>43.3</v>
      </c>
      <c r="D9" s="25" t="n">
        <v>48.8</v>
      </c>
      <c r="E9" s="25" t="n">
        <v>47.9</v>
      </c>
      <c r="F9" s="25" t="n">
        <v>44.1</v>
      </c>
      <c r="G9" s="25" t="n">
        <v>51.8</v>
      </c>
      <c r="H9" s="25" t="n">
        <v>67.7</v>
      </c>
    </row>
    <row r="10" customFormat="false" ht="15.75" hidden="false" customHeight="true" outlineLevel="0" collapsed="false">
      <c r="A10" s="26" t="s">
        <v>110</v>
      </c>
      <c r="B10" s="27" t="s">
        <v>102</v>
      </c>
      <c r="C10" s="28" t="n">
        <v>-8.6</v>
      </c>
      <c r="D10" s="28" t="n">
        <v>-7.3</v>
      </c>
      <c r="E10" s="28" t="n">
        <v>-3.5</v>
      </c>
      <c r="F10" s="28" t="n">
        <v>-6.4</v>
      </c>
      <c r="G10" s="28" t="n">
        <v>-10.3</v>
      </c>
      <c r="H10" s="28" t="n">
        <v>-14.4</v>
      </c>
    </row>
    <row r="11" customFormat="false" ht="15.75" hidden="false" customHeight="true" outlineLevel="0" collapsed="false">
      <c r="A11" s="23" t="s">
        <v>160</v>
      </c>
      <c r="B11" s="24" t="s">
        <v>102</v>
      </c>
      <c r="C11" s="25" t="n">
        <v>34.7</v>
      </c>
      <c r="D11" s="25" t="n">
        <v>41.5</v>
      </c>
      <c r="E11" s="25" t="n">
        <v>44.4</v>
      </c>
      <c r="F11" s="25" t="n">
        <v>37.7</v>
      </c>
      <c r="G11" s="25" t="n">
        <v>41.5</v>
      </c>
      <c r="H11" s="25" t="n">
        <v>53.3</v>
      </c>
    </row>
    <row r="12" customFormat="false" ht="15.75" hidden="false" customHeight="true" outlineLevel="0" collapsed="false">
      <c r="A12" s="26" t="s">
        <v>161</v>
      </c>
      <c r="B12" s="27" t="s">
        <v>102</v>
      </c>
      <c r="C12" s="28" t="n">
        <v>0</v>
      </c>
      <c r="D12" s="28" t="n">
        <v>0</v>
      </c>
      <c r="E12" s="28" t="n">
        <v>3</v>
      </c>
      <c r="F12" s="28" t="n">
        <v>-32.3</v>
      </c>
      <c r="G12" s="28" t="n">
        <v>-2</v>
      </c>
      <c r="H12" s="28" t="n">
        <v>-5.1</v>
      </c>
    </row>
    <row r="13" customFormat="false" ht="15.75" hidden="false" customHeight="true" outlineLevel="0" collapsed="false">
      <c r="A13" s="23" t="s">
        <v>162</v>
      </c>
      <c r="B13" s="24" t="s">
        <v>102</v>
      </c>
      <c r="C13" s="25" t="n">
        <v>34.7</v>
      </c>
      <c r="D13" s="25" t="n">
        <v>41.5</v>
      </c>
      <c r="E13" s="25" t="n">
        <v>47.4</v>
      </c>
      <c r="F13" s="25" t="n">
        <v>5.4</v>
      </c>
      <c r="G13" s="25" t="n">
        <v>39.5</v>
      </c>
      <c r="H13" s="25" t="n">
        <v>48.2</v>
      </c>
    </row>
    <row r="14" customFormat="false" ht="15.75" hidden="false" customHeight="true" outlineLevel="0" collapsed="false">
      <c r="A14" s="26" t="s">
        <v>163</v>
      </c>
      <c r="B14" s="27" t="s">
        <v>113</v>
      </c>
      <c r="C14" s="30" t="n">
        <v>12.3</v>
      </c>
      <c r="D14" s="30" t="n">
        <v>14.7</v>
      </c>
      <c r="E14" s="30" t="n">
        <v>15.8</v>
      </c>
      <c r="F14" s="30" t="n">
        <v>13.4</v>
      </c>
      <c r="G14" s="30" t="n">
        <v>15.2</v>
      </c>
      <c r="H14" s="30" t="n">
        <v>19.7</v>
      </c>
    </row>
    <row r="15" customFormat="false" ht="15.75" hidden="false" customHeight="true" outlineLevel="0" collapsed="false">
      <c r="A15" s="23" t="s">
        <v>164</v>
      </c>
      <c r="B15" s="24" t="s">
        <v>113</v>
      </c>
      <c r="C15" s="29" t="n">
        <v>12</v>
      </c>
      <c r="D15" s="29" t="n">
        <v>14.4</v>
      </c>
      <c r="E15" s="29" t="n">
        <v>15.4</v>
      </c>
      <c r="F15" s="29" t="n">
        <v>13.1</v>
      </c>
      <c r="G15" s="29" t="n">
        <v>14.9</v>
      </c>
      <c r="H15" s="29" t="n">
        <v>19.3</v>
      </c>
    </row>
    <row r="16" customFormat="false" ht="15.75" hidden="false" customHeight="true" outlineLevel="0" collapsed="false">
      <c r="A16" s="26" t="s">
        <v>165</v>
      </c>
      <c r="B16" s="27" t="s">
        <v>113</v>
      </c>
      <c r="C16" s="30" t="n">
        <v>12.3</v>
      </c>
      <c r="D16" s="30" t="n">
        <v>14.7</v>
      </c>
      <c r="E16" s="30" t="n">
        <v>16.9</v>
      </c>
      <c r="F16" s="30" t="n">
        <v>1.9</v>
      </c>
      <c r="G16" s="30" t="n">
        <v>14.5</v>
      </c>
      <c r="H16" s="30" t="n">
        <v>17.8</v>
      </c>
    </row>
    <row r="17" customFormat="false" ht="15.75" hidden="false" customHeight="true" outlineLevel="0" collapsed="false">
      <c r="A17" s="23" t="s">
        <v>166</v>
      </c>
      <c r="B17" s="24" t="s">
        <v>113</v>
      </c>
      <c r="C17" s="29" t="n">
        <v>12</v>
      </c>
      <c r="D17" s="29" t="n">
        <v>14.4</v>
      </c>
      <c r="E17" s="29" t="n">
        <v>16.4</v>
      </c>
      <c r="F17" s="29" t="n">
        <v>1.9</v>
      </c>
      <c r="G17" s="29" t="n">
        <v>14.1</v>
      </c>
      <c r="H17" s="29" t="n">
        <v>17.5</v>
      </c>
    </row>
    <row r="18" customFormat="false" ht="7.5" hidden="false" customHeight="true" outlineLevel="0" collapsed="false"/>
    <row r="19" customFormat="false" ht="19.5" hidden="false" customHeight="true" outlineLevel="0" collapsed="false">
      <c r="A19" s="14" t="s">
        <v>115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customFormat="false" ht="15.75" hidden="false" customHeight="true" outlineLevel="0" collapsed="false">
      <c r="A20" s="23" t="s">
        <v>167</v>
      </c>
      <c r="B20" s="24" t="s">
        <v>102</v>
      </c>
      <c r="C20" s="25" t="n">
        <v>108.5</v>
      </c>
      <c r="D20" s="25" t="n">
        <v>108.7</v>
      </c>
      <c r="E20" s="25" t="n">
        <v>118.1</v>
      </c>
      <c r="F20" s="25" t="n">
        <v>100.5</v>
      </c>
      <c r="G20" s="25" t="n">
        <v>98.5</v>
      </c>
      <c r="H20" s="25" t="n">
        <v>99.6</v>
      </c>
    </row>
    <row r="21" customFormat="false" ht="15.75" hidden="false" customHeight="true" outlineLevel="0" collapsed="false">
      <c r="A21" s="26" t="s">
        <v>168</v>
      </c>
      <c r="B21" s="27" t="s">
        <v>102</v>
      </c>
      <c r="C21" s="28" t="n">
        <v>29.8</v>
      </c>
      <c r="D21" s="28" t="n">
        <v>30</v>
      </c>
      <c r="E21" s="28" t="n">
        <v>34.6</v>
      </c>
      <c r="F21" s="28" t="n">
        <v>17.6</v>
      </c>
      <c r="G21" s="28" t="n">
        <v>18.6</v>
      </c>
      <c r="H21" s="28" t="n">
        <v>20.2</v>
      </c>
    </row>
    <row r="22" customFormat="false" ht="15.75" hidden="false" customHeight="true" outlineLevel="0" collapsed="false">
      <c r="A22" s="23" t="s">
        <v>169</v>
      </c>
      <c r="B22" s="24" t="s">
        <v>102</v>
      </c>
      <c r="C22" s="25" t="n">
        <v>16.6</v>
      </c>
      <c r="D22" s="25" t="n">
        <v>14.1</v>
      </c>
      <c r="E22" s="25" t="n">
        <v>11.4</v>
      </c>
      <c r="F22" s="25" t="n">
        <v>9.6</v>
      </c>
      <c r="G22" s="25" t="n">
        <v>10</v>
      </c>
      <c r="H22" s="25" t="n">
        <v>43.7</v>
      </c>
    </row>
    <row r="23" customFormat="false" ht="15.75" hidden="false" customHeight="true" outlineLevel="0" collapsed="false">
      <c r="A23" s="26" t="s">
        <v>170</v>
      </c>
      <c r="B23" s="27" t="s">
        <v>102</v>
      </c>
      <c r="C23" s="28" t="n">
        <v>194</v>
      </c>
      <c r="D23" s="28" t="n">
        <v>198.7</v>
      </c>
      <c r="E23" s="28" t="n">
        <v>231.3</v>
      </c>
      <c r="F23" s="28" t="n">
        <v>242.2</v>
      </c>
      <c r="G23" s="28" t="n">
        <v>287.8</v>
      </c>
      <c r="H23" s="28" t="n">
        <v>354.7</v>
      </c>
    </row>
    <row r="24" customFormat="false" ht="15.75" hidden="false" customHeight="true" outlineLevel="0" collapsed="false">
      <c r="A24" s="23" t="s">
        <v>171</v>
      </c>
      <c r="B24" s="24" t="s">
        <v>102</v>
      </c>
      <c r="C24" s="25" t="n">
        <v>15.7</v>
      </c>
      <c r="D24" s="25" t="n">
        <v>18.2</v>
      </c>
      <c r="E24" s="25" t="n">
        <v>32.3</v>
      </c>
      <c r="F24" s="25" t="n">
        <v>36.9</v>
      </c>
      <c r="G24" s="25" t="n">
        <v>7.3</v>
      </c>
      <c r="H24" s="25" t="n">
        <v>11.2</v>
      </c>
    </row>
    <row r="25" customFormat="false" ht="15.75" hidden="false" customHeight="true" outlineLevel="0" collapsed="false">
      <c r="A25" s="26" t="s">
        <v>116</v>
      </c>
      <c r="B25" s="27" t="s">
        <v>102</v>
      </c>
      <c r="C25" s="28" t="n">
        <v>372.2</v>
      </c>
      <c r="D25" s="28" t="n">
        <v>383.4</v>
      </c>
      <c r="E25" s="28" t="n">
        <v>438.9</v>
      </c>
      <c r="F25" s="28" t="n">
        <v>412.7</v>
      </c>
      <c r="G25" s="28" t="n">
        <v>422.3</v>
      </c>
      <c r="H25" s="28" t="n">
        <v>531.3</v>
      </c>
    </row>
    <row r="26" customFormat="false" ht="15.75" hidden="false" customHeight="true" outlineLevel="0" collapsed="false">
      <c r="A26" s="23" t="s">
        <v>172</v>
      </c>
      <c r="B26" s="24" t="s">
        <v>102</v>
      </c>
      <c r="C26" s="25" t="n">
        <v>91.3</v>
      </c>
      <c r="D26" s="25" t="n">
        <v>80.7</v>
      </c>
      <c r="E26" s="25" t="n">
        <v>99.6</v>
      </c>
      <c r="F26" s="25" t="n">
        <v>101.7</v>
      </c>
      <c r="G26" s="25" t="n">
        <v>127.1</v>
      </c>
      <c r="H26" s="25" t="n">
        <v>143.2</v>
      </c>
    </row>
    <row r="27" customFormat="false" ht="15.75" hidden="false" customHeight="true" outlineLevel="0" collapsed="false">
      <c r="A27" s="26" t="s">
        <v>173</v>
      </c>
      <c r="B27" s="27" t="s">
        <v>102</v>
      </c>
      <c r="C27" s="28" t="n">
        <v>62.8</v>
      </c>
      <c r="D27" s="28" t="n">
        <v>60.6</v>
      </c>
      <c r="E27" s="28" t="n">
        <v>61.1</v>
      </c>
      <c r="F27" s="28" t="n">
        <v>74.8</v>
      </c>
      <c r="G27" s="28" t="n">
        <v>91</v>
      </c>
      <c r="H27" s="28" t="n">
        <v>110.5</v>
      </c>
    </row>
    <row r="28" customFormat="false" ht="15.75" hidden="false" customHeight="true" outlineLevel="0" collapsed="false">
      <c r="A28" s="23" t="s">
        <v>174</v>
      </c>
      <c r="B28" s="24" t="s">
        <v>102</v>
      </c>
      <c r="C28" s="25" t="n">
        <v>14.7</v>
      </c>
      <c r="D28" s="25" t="n">
        <v>5.8</v>
      </c>
      <c r="E28" s="25" t="n">
        <v>19.8</v>
      </c>
      <c r="F28" s="25" t="n">
        <v>6.4</v>
      </c>
      <c r="G28" s="25" t="n">
        <v>45</v>
      </c>
      <c r="H28" s="25" t="n">
        <v>65.3</v>
      </c>
    </row>
    <row r="29" customFormat="false" ht="15.75" hidden="false" customHeight="true" outlineLevel="0" collapsed="false">
      <c r="A29" s="26" t="s">
        <v>120</v>
      </c>
      <c r="B29" s="27" t="s">
        <v>102</v>
      </c>
      <c r="C29" s="28" t="n">
        <v>169.2</v>
      </c>
      <c r="D29" s="28" t="n">
        <v>148.1</v>
      </c>
      <c r="E29" s="28" t="n">
        <v>181.2</v>
      </c>
      <c r="F29" s="28" t="n">
        <v>183.7</v>
      </c>
      <c r="G29" s="28" t="n">
        <v>264</v>
      </c>
      <c r="H29" s="28" t="n">
        <v>321.5</v>
      </c>
    </row>
    <row r="30" customFormat="false" ht="15.75" hidden="false" customHeight="true" outlineLevel="0" collapsed="false">
      <c r="A30" s="23" t="s">
        <v>123</v>
      </c>
      <c r="B30" s="24" t="s">
        <v>102</v>
      </c>
      <c r="C30" s="25" t="n">
        <v>541.4</v>
      </c>
      <c r="D30" s="25" t="n">
        <v>531.5</v>
      </c>
      <c r="E30" s="25" t="n">
        <v>620.1</v>
      </c>
      <c r="F30" s="25" t="n">
        <v>596.4</v>
      </c>
      <c r="G30" s="25" t="n">
        <v>692.1</v>
      </c>
      <c r="H30" s="25" t="n">
        <v>863.1</v>
      </c>
    </row>
    <row r="31" customFormat="false" ht="15.75" hidden="false" customHeight="true" outlineLevel="0" collapsed="false">
      <c r="A31" s="26" t="s">
        <v>175</v>
      </c>
      <c r="B31" s="27" t="s">
        <v>102</v>
      </c>
      <c r="C31" s="28" t="n">
        <v>0</v>
      </c>
      <c r="D31" s="28" t="n">
        <v>-0.4</v>
      </c>
      <c r="E31" s="28" t="n">
        <v>0</v>
      </c>
      <c r="F31" s="28" t="n">
        <v>0</v>
      </c>
      <c r="G31" s="28" t="n">
        <v>-43</v>
      </c>
      <c r="H31" s="28" t="n">
        <v>-47.2</v>
      </c>
    </row>
    <row r="32" customFormat="false" ht="15.75" hidden="false" customHeight="true" outlineLevel="0" collapsed="false">
      <c r="A32" s="23" t="s">
        <v>176</v>
      </c>
      <c r="B32" s="24" t="s">
        <v>102</v>
      </c>
      <c r="C32" s="25" t="n">
        <v>-97.2</v>
      </c>
      <c r="D32" s="25" t="n">
        <v>-85.7</v>
      </c>
      <c r="E32" s="25" t="n">
        <v>-98.2</v>
      </c>
      <c r="F32" s="25" t="n">
        <v>-124</v>
      </c>
      <c r="G32" s="25" t="n">
        <v>-85.1</v>
      </c>
      <c r="H32" s="25" t="n">
        <v>-99.4</v>
      </c>
    </row>
    <row r="33" customFormat="false" ht="15.75" hidden="false" customHeight="true" outlineLevel="0" collapsed="false">
      <c r="A33" s="26" t="s">
        <v>124</v>
      </c>
      <c r="B33" s="27" t="s">
        <v>102</v>
      </c>
      <c r="C33" s="28" t="n">
        <v>-111.8</v>
      </c>
      <c r="D33" s="28" t="n">
        <v>-102.5</v>
      </c>
      <c r="E33" s="28" t="n">
        <v>-113.7</v>
      </c>
      <c r="F33" s="28" t="n">
        <v>-142.1</v>
      </c>
      <c r="G33" s="28" t="n">
        <v>-170.3</v>
      </c>
      <c r="H33" s="28" t="n">
        <v>-201.4</v>
      </c>
    </row>
    <row r="34" customFormat="false" ht="15.75" hidden="false" customHeight="true" outlineLevel="0" collapsed="false">
      <c r="A34" s="23" t="s">
        <v>177</v>
      </c>
      <c r="B34" s="24" t="s">
        <v>102</v>
      </c>
      <c r="C34" s="25" t="n">
        <v>-57.5</v>
      </c>
      <c r="D34" s="25" t="n">
        <v>-28.1</v>
      </c>
      <c r="E34" s="25" t="n">
        <v>-20.9</v>
      </c>
      <c r="F34" s="25" t="n">
        <v>-14.1</v>
      </c>
      <c r="G34" s="25" t="n">
        <v>-43.7</v>
      </c>
      <c r="H34" s="25" t="n">
        <v>-91.6</v>
      </c>
    </row>
    <row r="35" customFormat="false" ht="15.75" hidden="false" customHeight="true" outlineLevel="0" collapsed="false">
      <c r="A35" s="26" t="s">
        <v>127</v>
      </c>
      <c r="B35" s="27" t="s">
        <v>102</v>
      </c>
      <c r="C35" s="28" t="n">
        <v>-100</v>
      </c>
      <c r="D35" s="28" t="n">
        <v>-76.2</v>
      </c>
      <c r="E35" s="28" t="n">
        <v>-88.3</v>
      </c>
      <c r="F35" s="28" t="n">
        <v>-75.8</v>
      </c>
      <c r="G35" s="28" t="n">
        <v>-165.5</v>
      </c>
      <c r="H35" s="28" t="n">
        <v>-279.7</v>
      </c>
    </row>
    <row r="36" customFormat="false" ht="15.75" hidden="false" customHeight="true" outlineLevel="0" collapsed="false">
      <c r="A36" s="23" t="s">
        <v>130</v>
      </c>
      <c r="B36" s="24" t="s">
        <v>102</v>
      </c>
      <c r="C36" s="25" t="n">
        <v>-211.8</v>
      </c>
      <c r="D36" s="25" t="n">
        <v>-178.7</v>
      </c>
      <c r="E36" s="25" t="n">
        <v>-202</v>
      </c>
      <c r="F36" s="25" t="n">
        <v>-217.9</v>
      </c>
      <c r="G36" s="25" t="n">
        <v>-335.8</v>
      </c>
      <c r="H36" s="25" t="n">
        <v>-481.1</v>
      </c>
    </row>
    <row r="37" customFormat="false" ht="15.75" hidden="false" customHeight="true" outlineLevel="0" collapsed="false">
      <c r="A37" s="26" t="s">
        <v>178</v>
      </c>
      <c r="B37" s="27" t="s">
        <v>102</v>
      </c>
      <c r="C37" s="28" t="n">
        <v>329.6</v>
      </c>
      <c r="D37" s="28" t="n">
        <v>352.8</v>
      </c>
      <c r="E37" s="28" t="n">
        <v>418.1</v>
      </c>
      <c r="F37" s="28" t="n">
        <v>378.5</v>
      </c>
      <c r="G37" s="28" t="n">
        <v>356.3</v>
      </c>
      <c r="H37" s="28" t="n">
        <v>382</v>
      </c>
    </row>
    <row r="38" customFormat="false" ht="15.75" hidden="false" customHeight="true" outlineLevel="0" collapsed="false">
      <c r="A38" s="23" t="s">
        <v>179</v>
      </c>
      <c r="B38" s="24" t="s">
        <v>102</v>
      </c>
      <c r="C38" s="25" t="n">
        <v>28</v>
      </c>
      <c r="D38" s="25" t="n">
        <v>56.2</v>
      </c>
      <c r="E38" s="25" t="n">
        <v>87.2</v>
      </c>
      <c r="F38" s="25" t="n">
        <v>62.9</v>
      </c>
      <c r="G38" s="25" t="n">
        <v>52.3</v>
      </c>
      <c r="H38" s="25" t="n">
        <v>78.5</v>
      </c>
    </row>
    <row r="39" customFormat="false" ht="15.75" hidden="false" customHeight="true" outlineLevel="0" collapsed="false">
      <c r="A39" s="26" t="s">
        <v>180</v>
      </c>
      <c r="B39" s="27" t="s">
        <v>102</v>
      </c>
      <c r="C39" s="28" t="n">
        <v>309.5</v>
      </c>
      <c r="D39" s="28" t="n">
        <v>309.9</v>
      </c>
      <c r="E39" s="28" t="n">
        <v>310.5</v>
      </c>
      <c r="F39" s="28" t="n">
        <v>311.5</v>
      </c>
      <c r="G39" s="28" t="n">
        <v>311.7</v>
      </c>
      <c r="H39" s="28" t="n">
        <v>311.9</v>
      </c>
    </row>
    <row r="40" customFormat="false" ht="7.5" hidden="false" customHeight="true" outlineLevel="0" collapsed="false"/>
    <row r="41" customFormat="false" ht="19.5" hidden="false" customHeight="true" outlineLevel="0" collapsed="false">
      <c r="A41" s="14" t="s">
        <v>133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customFormat="false" ht="15.75" hidden="false" customHeight="true" outlineLevel="0" collapsed="false">
      <c r="A42" s="23" t="s">
        <v>134</v>
      </c>
      <c r="B42" s="24" t="s">
        <v>102</v>
      </c>
      <c r="C42" s="25" t="n">
        <v>75.9</v>
      </c>
      <c r="D42" s="25" t="n">
        <v>75.7</v>
      </c>
      <c r="E42" s="25" t="n">
        <v>80.5</v>
      </c>
      <c r="F42" s="25" t="n">
        <v>65.9</v>
      </c>
      <c r="G42" s="25" t="n">
        <v>81</v>
      </c>
      <c r="H42" s="25" t="n">
        <v>91.1</v>
      </c>
    </row>
    <row r="43" customFormat="false" ht="15.75" hidden="false" customHeight="true" outlineLevel="0" collapsed="false">
      <c r="A43" s="26" t="s">
        <v>181</v>
      </c>
      <c r="B43" s="27" t="s">
        <v>102</v>
      </c>
      <c r="C43" s="28" t="n">
        <v>-35.6</v>
      </c>
      <c r="D43" s="28" t="n">
        <v>-28</v>
      </c>
      <c r="E43" s="28" t="n">
        <v>-31.5</v>
      </c>
      <c r="F43" s="28" t="n">
        <v>-32.7</v>
      </c>
      <c r="G43" s="28" t="n">
        <v>-63</v>
      </c>
      <c r="H43" s="28" t="n">
        <v>-90.2</v>
      </c>
    </row>
    <row r="44" customFormat="false" ht="15.75" hidden="false" customHeight="true" outlineLevel="0" collapsed="false">
      <c r="A44" s="23" t="s">
        <v>182</v>
      </c>
      <c r="B44" s="24" t="s">
        <v>102</v>
      </c>
      <c r="C44" s="25" t="n">
        <v>-5.2</v>
      </c>
      <c r="D44" s="25" t="n">
        <v>-2.2</v>
      </c>
      <c r="E44" s="25" t="n">
        <v>-3</v>
      </c>
      <c r="F44" s="25" t="n">
        <v>-1.5</v>
      </c>
      <c r="G44" s="25" t="n">
        <v>-4.8</v>
      </c>
      <c r="H44" s="25" t="n">
        <v>-12.1</v>
      </c>
    </row>
    <row r="45" customFormat="false" ht="15.75" hidden="false" customHeight="true" outlineLevel="0" collapsed="false">
      <c r="A45" s="26" t="s">
        <v>139</v>
      </c>
      <c r="B45" s="27" t="s">
        <v>102</v>
      </c>
      <c r="C45" s="28" t="n">
        <v>-25.4</v>
      </c>
      <c r="D45" s="28" t="n">
        <v>-34.9</v>
      </c>
      <c r="E45" s="28" t="n">
        <v>-30.5</v>
      </c>
      <c r="F45" s="28" t="n">
        <v>-39.4</v>
      </c>
      <c r="G45" s="28" t="n">
        <v>-47.6</v>
      </c>
      <c r="H45" s="28" t="n">
        <v>-88.9</v>
      </c>
    </row>
    <row r="46" customFormat="false" ht="15.75" hidden="false" customHeight="true" outlineLevel="0" collapsed="false">
      <c r="A46" s="23" t="s">
        <v>140</v>
      </c>
      <c r="B46" s="24" t="s">
        <v>102</v>
      </c>
      <c r="C46" s="25" t="n">
        <v>-10.4</v>
      </c>
      <c r="D46" s="25" t="n">
        <v>-11.9</v>
      </c>
      <c r="E46" s="25" t="n">
        <v>-14.4</v>
      </c>
      <c r="F46" s="25" t="n">
        <v>-17.3</v>
      </c>
      <c r="G46" s="25" t="n">
        <v>-19.6</v>
      </c>
      <c r="H46" s="25" t="n">
        <v>-21.5</v>
      </c>
    </row>
    <row r="47" customFormat="false" ht="15.75" hidden="false" customHeight="true" outlineLevel="0" collapsed="false">
      <c r="A47" s="26" t="s">
        <v>183</v>
      </c>
      <c r="B47" s="27" t="s">
        <v>102</v>
      </c>
      <c r="C47" s="28" t="n">
        <v>-2.4</v>
      </c>
      <c r="D47" s="28" t="n">
        <v>-7.1</v>
      </c>
      <c r="E47" s="28" t="n">
        <v>-7</v>
      </c>
      <c r="F47" s="28" t="n">
        <v>-14</v>
      </c>
      <c r="G47" s="28" t="n">
        <v>-41</v>
      </c>
      <c r="H47" s="28" t="n">
        <v>-6.6</v>
      </c>
    </row>
    <row r="48" customFormat="false" ht="15.75" hidden="false" customHeight="true" outlineLevel="0" collapsed="false">
      <c r="A48" s="23" t="s">
        <v>184</v>
      </c>
      <c r="B48" s="24" t="s">
        <v>102</v>
      </c>
      <c r="C48" s="25" t="n">
        <v>108</v>
      </c>
      <c r="D48" s="25" t="n">
        <v>29.2</v>
      </c>
      <c r="E48" s="25" t="n">
        <v>30</v>
      </c>
      <c r="F48" s="25" t="n">
        <v>60.1</v>
      </c>
      <c r="G48" s="25" t="n">
        <v>100</v>
      </c>
      <c r="H48" s="25" t="n">
        <v>145</v>
      </c>
    </row>
    <row r="49" customFormat="false" ht="15.75" hidden="false" customHeight="true" outlineLevel="0" collapsed="false">
      <c r="A49" s="26" t="s">
        <v>185</v>
      </c>
      <c r="B49" s="27" t="s">
        <v>102</v>
      </c>
      <c r="C49" s="28" t="n">
        <v>-123.1</v>
      </c>
      <c r="D49" s="28" t="n">
        <v>-55.7</v>
      </c>
      <c r="E49" s="28" t="n">
        <v>-41</v>
      </c>
      <c r="F49" s="28" t="n">
        <v>-66.8</v>
      </c>
      <c r="G49" s="28" t="n">
        <v>-70.1</v>
      </c>
      <c r="H49" s="28" t="n">
        <v>-70</v>
      </c>
    </row>
    <row r="50" customFormat="false" ht="15.75" hidden="false" customHeight="true" outlineLevel="0" collapsed="false">
      <c r="A50" s="23" t="s">
        <v>143</v>
      </c>
      <c r="B50" s="24" t="s">
        <v>102</v>
      </c>
      <c r="C50" s="25" t="n">
        <v>-32.1</v>
      </c>
      <c r="D50" s="25" t="n">
        <v>-50.4</v>
      </c>
      <c r="E50" s="25" t="n">
        <v>-35.8</v>
      </c>
      <c r="F50" s="25" t="n">
        <v>-40.2</v>
      </c>
      <c r="G50" s="25" t="n">
        <v>-37.3</v>
      </c>
      <c r="H50" s="25" t="n">
        <v>40</v>
      </c>
    </row>
    <row r="51" customFormat="false" ht="15.75" hidden="false" customHeight="true" outlineLevel="0" collapsed="false">
      <c r="A51" s="26" t="s">
        <v>145</v>
      </c>
      <c r="B51" s="27" t="s">
        <v>102</v>
      </c>
      <c r="C51" s="28" t="n">
        <v>14.7</v>
      </c>
      <c r="D51" s="28" t="n">
        <v>5.4</v>
      </c>
      <c r="E51" s="28" t="n">
        <v>19.8</v>
      </c>
      <c r="F51" s="28" t="n">
        <v>6.4</v>
      </c>
      <c r="G51" s="28" t="n">
        <v>2</v>
      </c>
      <c r="H51" s="28" t="n">
        <v>44.8</v>
      </c>
    </row>
    <row r="52" customFormat="false" ht="7.5" hidden="false" customHeight="true" outlineLevel="0" collapsed="false"/>
    <row r="53" customFormat="false" ht="19.5" hidden="false" customHeight="true" outlineLevel="0" collapsed="false">
      <c r="A53" s="14" t="s">
        <v>146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customFormat="false" ht="15.75" hidden="false" customHeight="true" outlineLevel="0" collapsed="false">
      <c r="A54" s="23" t="s">
        <v>147</v>
      </c>
      <c r="B54" s="24" t="s">
        <v>148</v>
      </c>
      <c r="C54" s="25" t="n">
        <v>281.7</v>
      </c>
      <c r="D54" s="25" t="n">
        <v>281.9</v>
      </c>
      <c r="E54" s="25" t="n">
        <v>280.3</v>
      </c>
      <c r="F54" s="25" t="n">
        <v>274.8</v>
      </c>
      <c r="G54" s="25" t="n">
        <v>271</v>
      </c>
      <c r="H54" s="25" t="n">
        <v>270.5</v>
      </c>
    </row>
    <row r="55" customFormat="false" ht="15.75" hidden="false" customHeight="true" outlineLevel="0" collapsed="false">
      <c r="A55" s="26" t="s">
        <v>150</v>
      </c>
      <c r="B55" s="27" t="s">
        <v>113</v>
      </c>
      <c r="C55" s="30" t="n">
        <v>3.7</v>
      </c>
      <c r="D55" s="30" t="n">
        <v>4.2</v>
      </c>
      <c r="E55" s="30" t="n">
        <v>5.1</v>
      </c>
      <c r="F55" s="30" t="n">
        <v>6.3</v>
      </c>
      <c r="G55" s="30" t="n">
        <v>7.2</v>
      </c>
      <c r="H55" s="30" t="n">
        <v>7.9</v>
      </c>
    </row>
    <row r="56" customFormat="false" ht="15.75" hidden="false" customHeight="true" outlineLevel="0" collapsed="false">
      <c r="A56" s="23" t="s">
        <v>186</v>
      </c>
      <c r="B56" s="24" t="s">
        <v>102</v>
      </c>
      <c r="C56" s="25" t="n">
        <v>18</v>
      </c>
      <c r="D56" s="25" t="n">
        <v>18.5</v>
      </c>
      <c r="E56" s="25" t="n">
        <v>19</v>
      </c>
      <c r="F56" s="25" t="n">
        <v>20</v>
      </c>
      <c r="G56" s="25" t="n">
        <v>22</v>
      </c>
      <c r="H56" s="25" t="n">
        <v>25</v>
      </c>
    </row>
    <row r="57" customFormat="false" ht="15.75" hidden="false" customHeight="true" outlineLevel="0" collapsed="false">
      <c r="A57" s="26" t="s">
        <v>187</v>
      </c>
      <c r="B57" s="27" t="s">
        <v>152</v>
      </c>
      <c r="C57" s="31" t="n">
        <v>0.199</v>
      </c>
      <c r="D57" s="31" t="n">
        <v>0.15</v>
      </c>
      <c r="E57" s="31" t="n">
        <v>0.073</v>
      </c>
      <c r="F57" s="31" t="n">
        <v>0.145</v>
      </c>
      <c r="G57" s="31" t="n">
        <v>0.199</v>
      </c>
      <c r="H57" s="31" t="n">
        <v>0.213</v>
      </c>
    </row>
    <row r="58" customFormat="false" ht="15.75" hidden="false" customHeight="true" outlineLevel="0" collapsed="false">
      <c r="A58" s="23" t="s">
        <v>188</v>
      </c>
      <c r="B58" s="24" t="s">
        <v>102</v>
      </c>
      <c r="C58" s="25" t="n">
        <v>3</v>
      </c>
      <c r="D58" s="25" t="n">
        <v>1.6</v>
      </c>
      <c r="E58" s="25" t="n">
        <v>1.5</v>
      </c>
      <c r="F58" s="25" t="n">
        <v>1.3</v>
      </c>
      <c r="G58" s="25" t="n">
        <v>4.8</v>
      </c>
      <c r="H58" s="25" t="n">
        <v>5.7</v>
      </c>
    </row>
  </sheetData>
  <mergeCells count="6">
    <mergeCell ref="A1:P1"/>
    <mergeCell ref="A2:P2"/>
    <mergeCell ref="A4:P4"/>
    <mergeCell ref="A19:P19"/>
    <mergeCell ref="A41:P41"/>
    <mergeCell ref="A53:P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60"/>
    <col collapsed="false" customWidth="true" hidden="false" outlineLevel="0" max="8" min="3" style="1" width="11"/>
    <col collapsed="false" customWidth="true" hidden="false" outlineLevel="0" max="9" min="9" style="1" width="3"/>
    <col collapsed="false" customWidth="true" hidden="false" outlineLevel="0" max="15" min="10" style="1" width="11"/>
    <col collapsed="false" customWidth="true" hidden="false" outlineLevel="0" max="16" min="16" style="1" width="35"/>
  </cols>
  <sheetData>
    <row r="1" customFormat="false" ht="25.5" hidden="false" customHeight="true" outlineLevel="0" collapsed="false">
      <c r="A1" s="33" t="s">
        <v>189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customFormat="false" ht="15.75" hidden="false" customHeight="true" outlineLevel="0" collapsed="false">
      <c r="A2" s="34" t="s">
        <v>190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customFormat="false" ht="30" hidden="false" customHeight="true" outlineLevel="0" collapsed="false">
      <c r="A3" s="15" t="s">
        <v>33</v>
      </c>
      <c r="B3" s="15" t="s">
        <v>191</v>
      </c>
      <c r="C3" s="35" t="s">
        <v>192</v>
      </c>
      <c r="D3" s="35" t="s">
        <v>193</v>
      </c>
      <c r="E3" s="35" t="s">
        <v>194</v>
      </c>
      <c r="F3" s="35" t="s">
        <v>195</v>
      </c>
      <c r="G3" s="35" t="s">
        <v>196</v>
      </c>
      <c r="H3" s="35" t="s">
        <v>197</v>
      </c>
      <c r="I3" s="36"/>
      <c r="J3" s="37" t="s">
        <v>193</v>
      </c>
      <c r="K3" s="37" t="s">
        <v>194</v>
      </c>
      <c r="L3" s="37" t="s">
        <v>195</v>
      </c>
      <c r="M3" s="37" t="s">
        <v>196</v>
      </c>
      <c r="N3" s="37" t="s">
        <v>197</v>
      </c>
      <c r="O3" s="37" t="s">
        <v>198</v>
      </c>
      <c r="P3" s="38" t="s">
        <v>199</v>
      </c>
    </row>
    <row r="4" customFormat="false" ht="18" hidden="false" customHeight="true" outlineLevel="0" collapsed="false">
      <c r="A4" s="39"/>
      <c r="B4" s="40" t="s">
        <v>200</v>
      </c>
      <c r="C4" s="41" t="s">
        <v>201</v>
      </c>
      <c r="D4" s="41"/>
      <c r="E4" s="41"/>
      <c r="F4" s="41"/>
      <c r="G4" s="41"/>
      <c r="H4" s="41"/>
      <c r="I4" s="39"/>
      <c r="J4" s="42" t="s">
        <v>202</v>
      </c>
      <c r="K4" s="42"/>
      <c r="L4" s="42"/>
      <c r="M4" s="42"/>
      <c r="N4" s="42"/>
      <c r="O4" s="42"/>
      <c r="P4" s="39"/>
    </row>
    <row r="5" customFormat="false" ht="19.5" hidden="false" customHeight="true" outlineLevel="0" collapsed="false">
      <c r="A5" s="43" t="s">
        <v>203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customFormat="false" ht="15.75" hidden="false" customHeight="true" outlineLevel="0" collapsed="false">
      <c r="A6" s="44" t="s">
        <v>204</v>
      </c>
      <c r="B6" s="45" t="s">
        <v>205</v>
      </c>
      <c r="C6" s="46" t="n">
        <f aca="false">Dunelm_Data!C5</f>
        <v>1100.4</v>
      </c>
      <c r="D6" s="46" t="n">
        <f aca="false">Dunelm_Data!D5</f>
        <v>1057.9</v>
      </c>
      <c r="E6" s="46" t="n">
        <f aca="false">Dunelm_Data!E5</f>
        <v>1336.2</v>
      </c>
      <c r="F6" s="46" t="n">
        <f aca="false">Dunelm_Data!F5</f>
        <v>1581.4</v>
      </c>
      <c r="G6" s="46" t="n">
        <f aca="false">Dunelm_Data!G5</f>
        <v>1638.8</v>
      </c>
      <c r="H6" s="46" t="n">
        <f aca="false">Dunelm_Data!H5</f>
        <v>1706.5</v>
      </c>
      <c r="I6" s="47"/>
      <c r="J6" s="48" t="n">
        <f aca="false">Chemring_Data!C5</f>
        <v>402.5</v>
      </c>
      <c r="K6" s="48" t="n">
        <f aca="false">Chemring_Data!D5</f>
        <v>393.3</v>
      </c>
      <c r="L6" s="48" t="n">
        <f aca="false">Chemring_Data!E5</f>
        <v>401</v>
      </c>
      <c r="M6" s="48" t="n">
        <f aca="false">Chemring_Data!F5</f>
        <v>472.6</v>
      </c>
      <c r="N6" s="48" t="n">
        <f aca="false">Chemring_Data!G5</f>
        <v>488.3</v>
      </c>
      <c r="O6" s="48" t="n">
        <f aca="false">Chemring_Data!H5</f>
        <v>497.5</v>
      </c>
      <c r="P6" s="49" t="s">
        <v>206</v>
      </c>
    </row>
    <row r="7" customFormat="false" ht="15.75" hidden="false" customHeight="true" outlineLevel="0" collapsed="false">
      <c r="A7" s="13" t="s">
        <v>207</v>
      </c>
      <c r="B7" s="45" t="s">
        <v>208</v>
      </c>
      <c r="C7" s="50" t="s">
        <v>209</v>
      </c>
      <c r="D7" s="51" t="n">
        <f aca="false">(Dunelm_Data!D5-Dunelm_Data!C5)/Dunelm_Data!C5</f>
        <v>-0.0386223191566703</v>
      </c>
      <c r="E7" s="51" t="n">
        <f aca="false">(Dunelm_Data!E5-Dunelm_Data!D5)/Dunelm_Data!D5</f>
        <v>0.263068342943567</v>
      </c>
      <c r="F7" s="51" t="n">
        <f aca="false">(Dunelm_Data!F5-Dunelm_Data!E5)/Dunelm_Data!E5</f>
        <v>0.183505463254004</v>
      </c>
      <c r="G7" s="51" t="n">
        <f aca="false">(Dunelm_Data!G5-Dunelm_Data!F5)/Dunelm_Data!F5</f>
        <v>0.036296952067788</v>
      </c>
      <c r="H7" s="51" t="n">
        <f aca="false">(Dunelm_Data!H5-Dunelm_Data!G5)/Dunelm_Data!G5</f>
        <v>0.0413107151574323</v>
      </c>
      <c r="I7" s="47"/>
      <c r="J7" s="50" t="s">
        <v>209</v>
      </c>
      <c r="K7" s="51" t="n">
        <f aca="false">(Chemring_Data!D5-Chemring_Data!C5)/Chemring_Data!C5</f>
        <v>-0.0228571428571428</v>
      </c>
      <c r="L7" s="51" t="n">
        <f aca="false">(Chemring_Data!E5-Chemring_Data!D5)/Chemring_Data!D5</f>
        <v>0.019577930333079</v>
      </c>
      <c r="M7" s="51" t="n">
        <f aca="false">(Chemring_Data!F5-Chemring_Data!E5)/Chemring_Data!E5</f>
        <v>0.1785536159601</v>
      </c>
      <c r="N7" s="51" t="n">
        <f aca="false">(Chemring_Data!G5-Chemring_Data!F5)/Chemring_Data!F5</f>
        <v>0.0332204824375793</v>
      </c>
      <c r="O7" s="51" t="n">
        <f aca="false">(Chemring_Data!H5-Chemring_Data!G5)/Chemring_Data!G5</f>
        <v>0.018840876510342</v>
      </c>
      <c r="P7" s="49" t="s">
        <v>210</v>
      </c>
    </row>
    <row r="8" customFormat="false" ht="15.75" hidden="false" customHeight="true" outlineLevel="0" collapsed="false">
      <c r="A8" s="9" t="s">
        <v>211</v>
      </c>
      <c r="B8" s="45" t="s">
        <v>212</v>
      </c>
      <c r="C8" s="52" t="s">
        <v>213</v>
      </c>
      <c r="D8" s="53" t="n">
        <f aca="false">(Dunelm_Data!D5/Dunelm_Data!C5)^(1/1)-1</f>
        <v>-0.0386223191566703</v>
      </c>
      <c r="E8" s="53" t="n">
        <f aca="false">(Dunelm_Data!E5/Dunelm_Data!C5)^(1/2)-1</f>
        <v>0.101946330038679</v>
      </c>
      <c r="F8" s="53" t="n">
        <f aca="false">(Dunelm_Data!F5/Dunelm_Data!C5)^(1/3)-1</f>
        <v>0.128488274479488</v>
      </c>
      <c r="G8" s="53" t="n">
        <f aca="false">(Dunelm_Data!G5/Dunelm_Data!C5)^(1/4)-1</f>
        <v>0.104698701160213</v>
      </c>
      <c r="H8" s="53" t="n">
        <f aca="false">(Dunelm_Data!H5/Dunelm_Data!C5)^(1/5)-1</f>
        <v>0.0917196874097084</v>
      </c>
      <c r="I8" s="47"/>
      <c r="J8" s="54" t="s">
        <v>213</v>
      </c>
      <c r="K8" s="55" t="n">
        <f aca="false">(Chemring_Data!D5/Chemring_Data!C5)^(1/1)-1</f>
        <v>-0.0228571428571428</v>
      </c>
      <c r="L8" s="55" t="n">
        <f aca="false">(Chemring_Data!E5/Chemring_Data!C5)^(1/2)-1</f>
        <v>-0.00186509332382034</v>
      </c>
      <c r="M8" s="55" t="n">
        <f aca="false">(Chemring_Data!F5/Chemring_Data!C5)^(1/3)-1</f>
        <v>0.0549760753716631</v>
      </c>
      <c r="N8" s="55" t="n">
        <f aca="false">(Chemring_Data!G5/Chemring_Data!C5)^(1/4)-1</f>
        <v>0.0494946037721196</v>
      </c>
      <c r="O8" s="55" t="n">
        <f aca="false">(Chemring_Data!H5/Chemring_Data!C5)^(1/5)-1</f>
        <v>0.0432909498877263</v>
      </c>
      <c r="P8" s="49" t="s">
        <v>214</v>
      </c>
    </row>
    <row r="9" customFormat="false" ht="6" hidden="false" customHeight="true" outlineLevel="0" collapsed="false"/>
    <row r="10" customFormat="false" ht="19.5" hidden="false" customHeight="true" outlineLevel="0" collapsed="false">
      <c r="A10" s="43" t="s">
        <v>215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</row>
    <row r="11" customFormat="false" ht="15.75" hidden="false" customHeight="true" outlineLevel="0" collapsed="false">
      <c r="A11" s="44" t="s">
        <v>216</v>
      </c>
      <c r="B11" s="45" t="s">
        <v>217</v>
      </c>
      <c r="C11" s="46" t="n">
        <f aca="false">Dunelm_Data!C7</f>
        <v>545.6</v>
      </c>
      <c r="D11" s="46" t="n">
        <f aca="false">Dunelm_Data!D7</f>
        <v>532.4</v>
      </c>
      <c r="E11" s="46" t="n">
        <f aca="false">Dunelm_Data!E7</f>
        <v>688.9</v>
      </c>
      <c r="F11" s="46" t="n">
        <f aca="false">Dunelm_Data!F7</f>
        <v>809.4</v>
      </c>
      <c r="G11" s="46" t="n">
        <f aca="false">Dunelm_Data!G7</f>
        <v>820.9</v>
      </c>
      <c r="H11" s="46" t="n">
        <f aca="false">Dunelm_Data!H7</f>
        <v>883.3</v>
      </c>
      <c r="I11" s="47"/>
      <c r="J11" s="48" t="n">
        <f aca="false">Chemring_Data!C6</f>
        <v>46.3</v>
      </c>
      <c r="K11" s="48" t="n">
        <f aca="false">Chemring_Data!D6</f>
        <v>50.4</v>
      </c>
      <c r="L11" s="48" t="n">
        <f aca="false">Chemring_Data!E6</f>
        <v>49.4</v>
      </c>
      <c r="M11" s="48" t="n">
        <f aca="false">Chemring_Data!F6</f>
        <v>45.4</v>
      </c>
      <c r="N11" s="48" t="n">
        <f aca="false">Chemring_Data!G6</f>
        <v>56.6</v>
      </c>
      <c r="O11" s="48" t="n">
        <f aca="false">Chemring_Data!H6</f>
        <v>73.4</v>
      </c>
      <c r="P11" s="49" t="s">
        <v>218</v>
      </c>
    </row>
    <row r="12" customFormat="false" ht="15.75" hidden="false" customHeight="true" outlineLevel="0" collapsed="false">
      <c r="A12" s="13" t="s">
        <v>219</v>
      </c>
      <c r="B12" s="45" t="s">
        <v>220</v>
      </c>
      <c r="C12" s="50" t="s">
        <v>209</v>
      </c>
      <c r="D12" s="51" t="n">
        <f aca="false">(Dunelm_Data!D7-Dunelm_Data!C7)/Dunelm_Data!C7</f>
        <v>-0.0241935483870969</v>
      </c>
      <c r="E12" s="51" t="n">
        <f aca="false">(Dunelm_Data!E7-Dunelm_Data!D7)/Dunelm_Data!D7</f>
        <v>0.293951915852742</v>
      </c>
      <c r="F12" s="51" t="n">
        <f aca="false">(Dunelm_Data!F7-Dunelm_Data!E7)/Dunelm_Data!E7</f>
        <v>0.174916533604297</v>
      </c>
      <c r="G12" s="51" t="n">
        <f aca="false">(Dunelm_Data!G7-Dunelm_Data!F7)/Dunelm_Data!F7</f>
        <v>0.0142080553496417</v>
      </c>
      <c r="H12" s="51" t="n">
        <f aca="false">(Dunelm_Data!H7-Dunelm_Data!G7)/Dunelm_Data!G7</f>
        <v>0.0760141308320136</v>
      </c>
      <c r="I12" s="47"/>
      <c r="J12" s="50" t="s">
        <v>209</v>
      </c>
      <c r="K12" s="51" t="n">
        <f aca="false">(Chemring_Data!D6-Chemring_Data!C6)/Chemring_Data!C6</f>
        <v>0.0885529157667387</v>
      </c>
      <c r="L12" s="51" t="n">
        <f aca="false">(Chemring_Data!E6-Chemring_Data!D6)/Chemring_Data!D6</f>
        <v>-0.0198412698412698</v>
      </c>
      <c r="M12" s="51" t="n">
        <f aca="false">(Chemring_Data!F6-Chemring_Data!E6)/Chemring_Data!E6</f>
        <v>-0.0809716599190283</v>
      </c>
      <c r="N12" s="51" t="n">
        <f aca="false">(Chemring_Data!G6-Chemring_Data!F6)/Chemring_Data!F6</f>
        <v>0.246696035242291</v>
      </c>
      <c r="O12" s="51" t="n">
        <f aca="false">(Chemring_Data!H6-Chemring_Data!G6)/Chemring_Data!G6</f>
        <v>0.296819787985866</v>
      </c>
      <c r="P12" s="49" t="s">
        <v>221</v>
      </c>
    </row>
    <row r="13" customFormat="false" ht="6" hidden="false" customHeight="true" outlineLevel="0" collapsed="false"/>
    <row r="14" customFormat="false" ht="19.5" hidden="false" customHeight="true" outlineLevel="0" collapsed="false">
      <c r="A14" s="43" t="s">
        <v>222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 customFormat="false" ht="15.75" hidden="false" customHeight="true" outlineLevel="0" collapsed="false">
      <c r="A15" s="44" t="s">
        <v>223</v>
      </c>
      <c r="B15" s="45" t="s">
        <v>224</v>
      </c>
      <c r="C15" s="46" t="n">
        <f aca="false">Dunelm_Data!C9</f>
        <v>126.9</v>
      </c>
      <c r="D15" s="46" t="n">
        <f aca="false">Dunelm_Data!D9</f>
        <v>116</v>
      </c>
      <c r="E15" s="46" t="n">
        <f aca="false">Dunelm_Data!E9</f>
        <v>166.4</v>
      </c>
      <c r="F15" s="46" t="n">
        <f aca="false">Dunelm_Data!F9</f>
        <v>217.7</v>
      </c>
      <c r="G15" s="46" t="n">
        <f aca="false">Dunelm_Data!G9</f>
        <v>198.8</v>
      </c>
      <c r="H15" s="46" t="n">
        <f aca="false">Dunelm_Data!H9</f>
        <v>213.3</v>
      </c>
      <c r="I15" s="47"/>
      <c r="J15" s="48" t="n">
        <f aca="false">Chemring_Data!C6</f>
        <v>46.3</v>
      </c>
      <c r="K15" s="48" t="n">
        <f aca="false">Chemring_Data!D6</f>
        <v>50.4</v>
      </c>
      <c r="L15" s="48" t="n">
        <f aca="false">Chemring_Data!E6</f>
        <v>49.4</v>
      </c>
      <c r="M15" s="48" t="n">
        <f aca="false">Chemring_Data!F6</f>
        <v>45.4</v>
      </c>
      <c r="N15" s="48" t="n">
        <f aca="false">Chemring_Data!G6</f>
        <v>56.6</v>
      </c>
      <c r="O15" s="48" t="n">
        <f aca="false">Chemring_Data!H6</f>
        <v>73.4</v>
      </c>
      <c r="P15" s="49" t="s">
        <v>225</v>
      </c>
    </row>
    <row r="16" customFormat="false" ht="15.75" hidden="false" customHeight="true" outlineLevel="0" collapsed="false">
      <c r="A16" s="13" t="s">
        <v>226</v>
      </c>
      <c r="B16" s="45" t="s">
        <v>227</v>
      </c>
      <c r="C16" s="50" t="s">
        <v>209</v>
      </c>
      <c r="D16" s="51" t="n">
        <f aca="false">(Dunelm_Data!D9-Dunelm_Data!C9)/Dunelm_Data!C9</f>
        <v>-0.0858944050433413</v>
      </c>
      <c r="E16" s="51" t="n">
        <f aca="false">(Dunelm_Data!E9-Dunelm_Data!D9)/Dunelm_Data!D9</f>
        <v>0.43448275862069</v>
      </c>
      <c r="F16" s="51" t="n">
        <f aca="false">(Dunelm_Data!F9-Dunelm_Data!E9)/Dunelm_Data!E9</f>
        <v>0.308293269230769</v>
      </c>
      <c r="G16" s="51" t="n">
        <f aca="false">(Dunelm_Data!G9-Dunelm_Data!F9)/Dunelm_Data!F9</f>
        <v>-0.0868167202572346</v>
      </c>
      <c r="H16" s="51" t="n">
        <f aca="false">(Dunelm_Data!H9-Dunelm_Data!G9)/Dunelm_Data!G9</f>
        <v>0.0729376257545272</v>
      </c>
      <c r="I16" s="47"/>
      <c r="J16" s="50" t="s">
        <v>209</v>
      </c>
      <c r="K16" s="51" t="n">
        <f aca="false">(Chemring_Data!D6-Chemring_Data!C6)/Chemring_Data!C6</f>
        <v>0.0885529157667387</v>
      </c>
      <c r="L16" s="51" t="n">
        <f aca="false">(Chemring_Data!E6-Chemring_Data!D6)/Chemring_Data!D6</f>
        <v>-0.0198412698412698</v>
      </c>
      <c r="M16" s="51" t="n">
        <f aca="false">(Chemring_Data!F6-Chemring_Data!E6)/Chemring_Data!E6</f>
        <v>-0.0809716599190283</v>
      </c>
      <c r="N16" s="51" t="n">
        <f aca="false">(Chemring_Data!G6-Chemring_Data!F6)/Chemring_Data!F6</f>
        <v>0.246696035242291</v>
      </c>
      <c r="O16" s="51" t="n">
        <f aca="false">(Chemring_Data!H6-Chemring_Data!G6)/Chemring_Data!G6</f>
        <v>0.296819787985866</v>
      </c>
      <c r="P16" s="49" t="s">
        <v>228</v>
      </c>
    </row>
    <row r="17" customFormat="false" ht="6" hidden="false" customHeight="true" outlineLevel="0" collapsed="false"/>
    <row r="18" customFormat="false" ht="19.5" hidden="false" customHeight="true" outlineLevel="0" collapsed="false">
      <c r="A18" s="43" t="s">
        <v>229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customFormat="false" ht="15.75" hidden="false" customHeight="true" outlineLevel="0" collapsed="false">
      <c r="A19" s="44" t="s">
        <v>230</v>
      </c>
      <c r="B19" s="45" t="s">
        <v>231</v>
      </c>
      <c r="C19" s="46" t="n">
        <f aca="false">Dunelm_Data!C14</f>
        <v>101.3</v>
      </c>
      <c r="D19" s="46" t="n">
        <f aca="false">Dunelm_Data!D14</f>
        <v>87.7</v>
      </c>
      <c r="E19" s="46" t="n">
        <f aca="false">Dunelm_Data!E14</f>
        <v>128.9</v>
      </c>
      <c r="F19" s="46" t="n">
        <f aca="false">Dunelm_Data!F14</f>
        <v>171.2</v>
      </c>
      <c r="G19" s="46" t="n">
        <f aca="false">Dunelm_Data!G14</f>
        <v>151.9</v>
      </c>
      <c r="H19" s="46" t="n">
        <f aca="false">Dunelm_Data!H14</f>
        <v>151.2</v>
      </c>
      <c r="I19" s="47"/>
      <c r="J19" s="48" t="n">
        <f aca="false">Chemring_Data!C13</f>
        <v>34.7</v>
      </c>
      <c r="K19" s="48" t="n">
        <f aca="false">Chemring_Data!D13</f>
        <v>41.5</v>
      </c>
      <c r="L19" s="48" t="n">
        <f aca="false">Chemring_Data!E13</f>
        <v>47.4</v>
      </c>
      <c r="M19" s="48" t="n">
        <f aca="false">Chemring_Data!F13</f>
        <v>5.4</v>
      </c>
      <c r="N19" s="48" t="n">
        <f aca="false">Chemring_Data!G13</f>
        <v>39.5</v>
      </c>
      <c r="O19" s="48" t="n">
        <f aca="false">Chemring_Data!H13</f>
        <v>48.2</v>
      </c>
      <c r="P19" s="49" t="s">
        <v>232</v>
      </c>
    </row>
    <row r="20" customFormat="false" ht="15.75" hidden="false" customHeight="true" outlineLevel="0" collapsed="false">
      <c r="A20" s="13" t="s">
        <v>233</v>
      </c>
      <c r="B20" s="45" t="s">
        <v>234</v>
      </c>
      <c r="C20" s="50" t="s">
        <v>209</v>
      </c>
      <c r="D20" s="51" t="n">
        <f aca="false">(Dunelm_Data!D14-Dunelm_Data!C14)/Dunelm_Data!C14</f>
        <v>-0.134254689042448</v>
      </c>
      <c r="E20" s="51" t="n">
        <f aca="false">(Dunelm_Data!E14-Dunelm_Data!D14)/Dunelm_Data!D14</f>
        <v>0.469783352337514</v>
      </c>
      <c r="F20" s="51" t="n">
        <f aca="false">(Dunelm_Data!F14-Dunelm_Data!E14)/Dunelm_Data!E14</f>
        <v>0.328161365399534</v>
      </c>
      <c r="G20" s="51" t="n">
        <f aca="false">(Dunelm_Data!G14-Dunelm_Data!F14)/Dunelm_Data!F14</f>
        <v>-0.112733644859813</v>
      </c>
      <c r="H20" s="51" t="n">
        <f aca="false">(Dunelm_Data!H14-Dunelm_Data!G14)/Dunelm_Data!G14</f>
        <v>-0.00460829493087569</v>
      </c>
      <c r="I20" s="47"/>
      <c r="J20" s="50" t="s">
        <v>209</v>
      </c>
      <c r="K20" s="51" t="n">
        <f aca="false">(Chemring_Data!D13-Chemring_Data!C13)/Chemring_Data!C13</f>
        <v>0.195965417867435</v>
      </c>
      <c r="L20" s="51" t="n">
        <f aca="false">(Chemring_Data!E13-Chemring_Data!D13)/Chemring_Data!D13</f>
        <v>0.142168674698795</v>
      </c>
      <c r="M20" s="51" t="n">
        <f aca="false">(Chemring_Data!F13-Chemring_Data!E13)/Chemring_Data!E13</f>
        <v>-0.886075949367089</v>
      </c>
      <c r="N20" s="51" t="n">
        <f aca="false">(Chemring_Data!G13-Chemring_Data!F13)/Chemring_Data!F13</f>
        <v>6.31481481481482</v>
      </c>
      <c r="O20" s="51" t="n">
        <f aca="false">(Chemring_Data!H13-Chemring_Data!G13)/Chemring_Data!G13</f>
        <v>0.220253164556962</v>
      </c>
      <c r="P20" s="49" t="s">
        <v>235</v>
      </c>
    </row>
    <row r="21" customFormat="false" ht="6" hidden="false" customHeight="true" outlineLevel="0" collapsed="false"/>
    <row r="22" customFormat="false" ht="19.5" hidden="false" customHeight="true" outlineLevel="0" collapsed="false">
      <c r="A22" s="43" t="s">
        <v>236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</row>
    <row r="23" customFormat="false" ht="15.75" hidden="false" customHeight="true" outlineLevel="0" collapsed="false">
      <c r="A23" s="44" t="s">
        <v>237</v>
      </c>
      <c r="B23" s="45" t="s">
        <v>238</v>
      </c>
      <c r="C23" s="56" t="n">
        <f aca="false">Dunelm_Data!C15</f>
        <v>50.2</v>
      </c>
      <c r="D23" s="56" t="n">
        <f aca="false">Dunelm_Data!D15</f>
        <v>43.4</v>
      </c>
      <c r="E23" s="56" t="n">
        <f aca="false">Dunelm_Data!E15</f>
        <v>63.7</v>
      </c>
      <c r="F23" s="56" t="n">
        <f aca="false">Dunelm_Data!F15</f>
        <v>84.5</v>
      </c>
      <c r="G23" s="56" t="n">
        <f aca="false">Dunelm_Data!G15</f>
        <v>75.2</v>
      </c>
      <c r="H23" s="56" t="n">
        <f aca="false">Dunelm_Data!H15</f>
        <v>74.7</v>
      </c>
      <c r="I23" s="47"/>
      <c r="J23" s="57" t="n">
        <f aca="false">Chemring_Data!C14</f>
        <v>12.3</v>
      </c>
      <c r="K23" s="57" t="n">
        <f aca="false">Chemring_Data!D14</f>
        <v>14.7</v>
      </c>
      <c r="L23" s="57" t="n">
        <f aca="false">Chemring_Data!E14</f>
        <v>15.8</v>
      </c>
      <c r="M23" s="57" t="n">
        <f aca="false">Chemring_Data!F14</f>
        <v>13.4</v>
      </c>
      <c r="N23" s="57" t="n">
        <f aca="false">Chemring_Data!G14</f>
        <v>15.2</v>
      </c>
      <c r="O23" s="57" t="n">
        <f aca="false">Chemring_Data!H14</f>
        <v>19.7</v>
      </c>
      <c r="P23" s="49" t="s">
        <v>239</v>
      </c>
    </row>
    <row r="24" customFormat="false" ht="15.75" hidden="false" customHeight="true" outlineLevel="0" collapsed="false">
      <c r="A24" s="13" t="s">
        <v>240</v>
      </c>
      <c r="B24" s="45" t="s">
        <v>241</v>
      </c>
      <c r="C24" s="58" t="n">
        <f aca="false">Dunelm_Data!C16</f>
        <v>49.9</v>
      </c>
      <c r="D24" s="58" t="n">
        <f aca="false">Dunelm_Data!D16</f>
        <v>42.9</v>
      </c>
      <c r="E24" s="58" t="n">
        <f aca="false">Dunelm_Data!E16</f>
        <v>62.9</v>
      </c>
      <c r="F24" s="58" t="n">
        <f aca="false">Dunelm_Data!F16</f>
        <v>83.6</v>
      </c>
      <c r="G24" s="58" t="n">
        <f aca="false">Dunelm_Data!G16</f>
        <v>75</v>
      </c>
      <c r="H24" s="58" t="n">
        <f aca="false">Dunelm_Data!H16</f>
        <v>74.4</v>
      </c>
      <c r="I24" s="47"/>
      <c r="J24" s="58" t="n">
        <f aca="false">Chemring_Data!C15</f>
        <v>12</v>
      </c>
      <c r="K24" s="58" t="n">
        <f aca="false">Chemring_Data!D15</f>
        <v>14.4</v>
      </c>
      <c r="L24" s="58" t="n">
        <f aca="false">Chemring_Data!E15</f>
        <v>15.4</v>
      </c>
      <c r="M24" s="58" t="n">
        <f aca="false">Chemring_Data!F15</f>
        <v>13.1</v>
      </c>
      <c r="N24" s="58" t="n">
        <f aca="false">Chemring_Data!G15</f>
        <v>14.9</v>
      </c>
      <c r="O24" s="58" t="n">
        <f aca="false">Chemring_Data!H15</f>
        <v>19.3</v>
      </c>
      <c r="P24" s="49" t="s">
        <v>242</v>
      </c>
    </row>
    <row r="25" customFormat="false" ht="15.75" hidden="false" customHeight="true" outlineLevel="0" collapsed="false">
      <c r="A25" s="9" t="s">
        <v>243</v>
      </c>
      <c r="B25" s="45" t="s">
        <v>244</v>
      </c>
      <c r="C25" s="52" t="s">
        <v>209</v>
      </c>
      <c r="D25" s="53" t="n">
        <f aca="false">(Dunelm_Data!D15-Dunelm_Data!C15)/Dunelm_Data!C15</f>
        <v>-0.135458167330677</v>
      </c>
      <c r="E25" s="53" t="n">
        <f aca="false">(Dunelm_Data!E15-Dunelm_Data!D15)/Dunelm_Data!D15</f>
        <v>0.467741935483871</v>
      </c>
      <c r="F25" s="53" t="n">
        <f aca="false">(Dunelm_Data!F15-Dunelm_Data!E15)/Dunelm_Data!E15</f>
        <v>0.326530612244898</v>
      </c>
      <c r="G25" s="53" t="n">
        <f aca="false">(Dunelm_Data!G15-Dunelm_Data!F15)/Dunelm_Data!F15</f>
        <v>-0.110059171597633</v>
      </c>
      <c r="H25" s="53" t="n">
        <f aca="false">(Dunelm_Data!H15-Dunelm_Data!G15)/Dunelm_Data!G15</f>
        <v>-0.00664893617021277</v>
      </c>
      <c r="I25" s="47"/>
      <c r="J25" s="54" t="s">
        <v>209</v>
      </c>
      <c r="K25" s="55" t="n">
        <f aca="false">(Chemring_Data!D14-Chemring_Data!C14)/Chemring_Data!C14</f>
        <v>0.195121951219512</v>
      </c>
      <c r="L25" s="55" t="n">
        <f aca="false">(Chemring_Data!E14-Chemring_Data!D14)/Chemring_Data!D14</f>
        <v>0.0748299319727892</v>
      </c>
      <c r="M25" s="55" t="n">
        <f aca="false">(Chemring_Data!F14-Chemring_Data!E14)/Chemring_Data!E14</f>
        <v>-0.151898734177215</v>
      </c>
      <c r="N25" s="55" t="n">
        <f aca="false">(Chemring_Data!G14-Chemring_Data!F14)/Chemring_Data!F14</f>
        <v>0.134328358208955</v>
      </c>
      <c r="O25" s="55" t="n">
        <f aca="false">(Chemring_Data!H14-Chemring_Data!G14)/Chemring_Data!G14</f>
        <v>0.296052631578947</v>
      </c>
      <c r="P25" s="49" t="s">
        <v>245</v>
      </c>
    </row>
    <row r="26" customFormat="false" ht="6" hidden="false" customHeight="true" outlineLevel="0" collapsed="false"/>
    <row r="27" customFormat="false" ht="19.5" hidden="false" customHeight="true" outlineLevel="0" collapsed="false">
      <c r="A27" s="43" t="s">
        <v>246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customFormat="false" ht="15.75" hidden="false" customHeight="true" outlineLevel="0" collapsed="false">
      <c r="A28" s="44" t="s">
        <v>247</v>
      </c>
      <c r="B28" s="45" t="s">
        <v>248</v>
      </c>
      <c r="C28" s="56" t="n">
        <f aca="false">Dunelm_Data!C55</f>
        <v>27.1</v>
      </c>
      <c r="D28" s="56" t="n">
        <f aca="false">Dunelm_Data!D55</f>
        <v>52.5</v>
      </c>
      <c r="E28" s="56" t="n">
        <f aca="false">Dunelm_Data!E55</f>
        <v>12</v>
      </c>
      <c r="F28" s="56" t="n">
        <f aca="false">Dunelm_Data!F55</f>
        <v>139.2</v>
      </c>
      <c r="G28" s="56" t="n">
        <f aca="false">Dunelm_Data!G55</f>
        <v>80.8</v>
      </c>
      <c r="H28" s="56" t="n">
        <f aca="false">Dunelm_Data!H55</f>
        <v>77.8</v>
      </c>
      <c r="I28" s="47"/>
      <c r="J28" s="57" t="n">
        <f aca="false">Chemring_Data!C55</f>
        <v>3.7</v>
      </c>
      <c r="K28" s="57" t="n">
        <f aca="false">Chemring_Data!D55</f>
        <v>4.2</v>
      </c>
      <c r="L28" s="57" t="n">
        <f aca="false">Chemring_Data!E55</f>
        <v>5.1</v>
      </c>
      <c r="M28" s="57" t="n">
        <f aca="false">Chemring_Data!F55</f>
        <v>6.3</v>
      </c>
      <c r="N28" s="57" t="n">
        <f aca="false">Chemring_Data!G55</f>
        <v>7.2</v>
      </c>
      <c r="O28" s="57" t="n">
        <f aca="false">Chemring_Data!H55</f>
        <v>7.9</v>
      </c>
      <c r="P28" s="49" t="s">
        <v>249</v>
      </c>
    </row>
    <row r="29" customFormat="false" ht="15.75" hidden="false" customHeight="true" outlineLevel="0" collapsed="false">
      <c r="A29" s="13" t="s">
        <v>250</v>
      </c>
      <c r="B29" s="45" t="s">
        <v>251</v>
      </c>
      <c r="C29" s="50" t="s">
        <v>209</v>
      </c>
      <c r="D29" s="51" t="n">
        <f aca="false">(Dunelm_Data!D55-Dunelm_Data!C55)/Dunelm_Data!C55</f>
        <v>0.937269372693727</v>
      </c>
      <c r="E29" s="51" t="n">
        <f aca="false">(Dunelm_Data!E55-Dunelm_Data!D55)/Dunelm_Data!D55</f>
        <v>-0.771428571428572</v>
      </c>
      <c r="F29" s="51" t="n">
        <f aca="false">(Dunelm_Data!F55-Dunelm_Data!E55)/Dunelm_Data!E55</f>
        <v>10.6</v>
      </c>
      <c r="G29" s="51" t="n">
        <f aca="false">(Dunelm_Data!G55-Dunelm_Data!F55)/Dunelm_Data!F55</f>
        <v>-0.419540229885057</v>
      </c>
      <c r="H29" s="51" t="n">
        <f aca="false">(Dunelm_Data!H55-Dunelm_Data!G55)/Dunelm_Data!G55</f>
        <v>-0.0371287128712871</v>
      </c>
      <c r="I29" s="47"/>
      <c r="J29" s="50" t="s">
        <v>209</v>
      </c>
      <c r="K29" s="51" t="n">
        <f aca="false">(Chemring_Data!D55-Chemring_Data!C55)/Chemring_Data!C55</f>
        <v>0.135135135135135</v>
      </c>
      <c r="L29" s="51" t="n">
        <f aca="false">(Chemring_Data!E55-Chemring_Data!D55)/Chemring_Data!D55</f>
        <v>0.214285714285714</v>
      </c>
      <c r="M29" s="51" t="n">
        <f aca="false">(Chemring_Data!F55-Chemring_Data!E55)/Chemring_Data!E55</f>
        <v>0.235294117647059</v>
      </c>
      <c r="N29" s="51" t="n">
        <f aca="false">(Chemring_Data!G55-Chemring_Data!F55)/Chemring_Data!F55</f>
        <v>0.142857142857143</v>
      </c>
      <c r="O29" s="51" t="n">
        <f aca="false">(Chemring_Data!H55-Chemring_Data!G55)/Chemring_Data!G55</f>
        <v>0.0972222222222222</v>
      </c>
      <c r="P29" s="49" t="s">
        <v>252</v>
      </c>
    </row>
    <row r="30" customFormat="false" ht="6" hidden="false" customHeight="true" outlineLevel="0" collapsed="false"/>
    <row r="31" customFormat="false" ht="19.5" hidden="false" customHeight="true" outlineLevel="0" collapsed="false">
      <c r="A31" s="43" t="s">
        <v>253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customFormat="false" ht="15.75" hidden="false" customHeight="true" outlineLevel="0" collapsed="false">
      <c r="A32" s="44" t="s">
        <v>254</v>
      </c>
      <c r="B32" s="45" t="s">
        <v>255</v>
      </c>
      <c r="C32" s="46" t="n">
        <f aca="false">Dunelm_Data!C27</f>
        <v>417.1</v>
      </c>
      <c r="D32" s="46" t="n">
        <f aca="false">Dunelm_Data!D27</f>
        <v>716</v>
      </c>
      <c r="E32" s="46" t="n">
        <f aca="false">Dunelm_Data!E27</f>
        <v>766.7</v>
      </c>
      <c r="F32" s="46" t="n">
        <f aca="false">Dunelm_Data!F27</f>
        <v>737.9</v>
      </c>
      <c r="G32" s="46" t="n">
        <f aca="false">Dunelm_Data!G27</f>
        <v>696.8</v>
      </c>
      <c r="H32" s="46" t="n">
        <f aca="false">Dunelm_Data!H27</f>
        <v>682</v>
      </c>
      <c r="I32" s="47"/>
      <c r="J32" s="48" t="n">
        <f aca="false">Chemring_Data!C30</f>
        <v>541.4</v>
      </c>
      <c r="K32" s="48" t="n">
        <f aca="false">Chemring_Data!D30</f>
        <v>531.5</v>
      </c>
      <c r="L32" s="48" t="n">
        <f aca="false">Chemring_Data!E30</f>
        <v>620.1</v>
      </c>
      <c r="M32" s="48" t="n">
        <f aca="false">Chemring_Data!F30</f>
        <v>596.4</v>
      </c>
      <c r="N32" s="48" t="n">
        <f aca="false">Chemring_Data!G30</f>
        <v>692.1</v>
      </c>
      <c r="O32" s="48" t="n">
        <f aca="false">Chemring_Data!H30</f>
        <v>863.1</v>
      </c>
      <c r="P32" s="49" t="s">
        <v>256</v>
      </c>
    </row>
    <row r="33" customFormat="false" ht="15.75" hidden="false" customHeight="true" outlineLevel="0" collapsed="false">
      <c r="A33" s="13" t="s">
        <v>257</v>
      </c>
      <c r="B33" s="45" t="s">
        <v>258</v>
      </c>
      <c r="C33" s="50" t="s">
        <v>209</v>
      </c>
      <c r="D33" s="51" t="n">
        <f aca="false">(Dunelm_Data!D27-Dunelm_Data!C27)/Dunelm_Data!C27</f>
        <v>0.716614720690482</v>
      </c>
      <c r="E33" s="51" t="n">
        <f aca="false">(Dunelm_Data!E27-Dunelm_Data!D27)/Dunelm_Data!D27</f>
        <v>0.0708100558659218</v>
      </c>
      <c r="F33" s="51" t="n">
        <f aca="false">(Dunelm_Data!F27-Dunelm_Data!E27)/Dunelm_Data!E27</f>
        <v>-0.0375635841919917</v>
      </c>
      <c r="G33" s="51" t="n">
        <f aca="false">(Dunelm_Data!G27-Dunelm_Data!F27)/Dunelm_Data!F27</f>
        <v>-0.0556986041469034</v>
      </c>
      <c r="H33" s="51" t="n">
        <f aca="false">(Dunelm_Data!H27-Dunelm_Data!G27)/Dunelm_Data!G27</f>
        <v>-0.0212399540757749</v>
      </c>
      <c r="I33" s="47"/>
      <c r="J33" s="50" t="s">
        <v>209</v>
      </c>
      <c r="K33" s="51" t="n">
        <f aca="false">(Chemring_Data!D30-Chemring_Data!C30)/Chemring_Data!C30</f>
        <v>-0.0182859253786479</v>
      </c>
      <c r="L33" s="51" t="n">
        <f aca="false">(Chemring_Data!E30-Chemring_Data!D30)/Chemring_Data!D30</f>
        <v>0.166698024459078</v>
      </c>
      <c r="M33" s="51" t="n">
        <f aca="false">(Chemring_Data!F30-Chemring_Data!E30)/Chemring_Data!E30</f>
        <v>-0.038219641993227</v>
      </c>
      <c r="N33" s="51" t="n">
        <f aca="false">(Chemring_Data!G30-Chemring_Data!F30)/Chemring_Data!F30</f>
        <v>0.16046277665996</v>
      </c>
      <c r="O33" s="51" t="n">
        <f aca="false">(Chemring_Data!H30-Chemring_Data!G30)/Chemring_Data!G30</f>
        <v>0.247074122236671</v>
      </c>
      <c r="P33" s="49" t="s">
        <v>259</v>
      </c>
    </row>
    <row r="34" customFormat="false" ht="6" hidden="false" customHeight="true" outlineLevel="0" collapsed="false"/>
    <row r="35" customFormat="false" ht="19.5" hidden="false" customHeight="true" outlineLevel="0" collapsed="false">
      <c r="A35" s="43" t="s">
        <v>260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</row>
    <row r="36" customFormat="false" ht="15.75" hidden="false" customHeight="true" outlineLevel="0" collapsed="false">
      <c r="A36" s="44" t="s">
        <v>261</v>
      </c>
      <c r="B36" s="45" t="s">
        <v>262</v>
      </c>
      <c r="C36" s="46" t="n">
        <f aca="false">Dunelm_Data!C35</f>
        <v>185.8</v>
      </c>
      <c r="D36" s="46" t="n">
        <f aca="false">Dunelm_Data!D35</f>
        <v>173.4</v>
      </c>
      <c r="E36" s="46" t="n">
        <f aca="false">Dunelm_Data!E35</f>
        <v>281.2</v>
      </c>
      <c r="F36" s="46" t="n">
        <f aca="false">Dunelm_Data!F35</f>
        <v>178.3</v>
      </c>
      <c r="G36" s="46" t="n">
        <f aca="false">Dunelm_Data!G35</f>
        <v>137.5</v>
      </c>
      <c r="H36" s="46" t="n">
        <f aca="false">Dunelm_Data!H35</f>
        <v>137.9</v>
      </c>
      <c r="I36" s="47"/>
      <c r="J36" s="48" t="n">
        <f aca="false">Chemring_Data!C37</f>
        <v>329.6</v>
      </c>
      <c r="K36" s="48" t="n">
        <f aca="false">Chemring_Data!D37</f>
        <v>352.8</v>
      </c>
      <c r="L36" s="48" t="n">
        <f aca="false">Chemring_Data!E37</f>
        <v>418.1</v>
      </c>
      <c r="M36" s="48" t="n">
        <f aca="false">Chemring_Data!F37</f>
        <v>378.5</v>
      </c>
      <c r="N36" s="48" t="n">
        <f aca="false">Chemring_Data!G37</f>
        <v>356.3</v>
      </c>
      <c r="O36" s="48" t="n">
        <f aca="false">Chemring_Data!H37</f>
        <v>382</v>
      </c>
      <c r="P36" s="49" t="s">
        <v>263</v>
      </c>
    </row>
    <row r="37" customFormat="false" ht="15.75" hidden="false" customHeight="true" outlineLevel="0" collapsed="false">
      <c r="A37" s="13" t="s">
        <v>264</v>
      </c>
      <c r="B37" s="45" t="s">
        <v>265</v>
      </c>
      <c r="C37" s="50" t="s">
        <v>209</v>
      </c>
      <c r="D37" s="51" t="n">
        <f aca="false">(Dunelm_Data!D35-Dunelm_Data!C35)/Dunelm_Data!C35</f>
        <v>-0.0667384284176534</v>
      </c>
      <c r="E37" s="51" t="n">
        <f aca="false">(Dunelm_Data!E35-Dunelm_Data!D35)/Dunelm_Data!D35</f>
        <v>0.621683967704729</v>
      </c>
      <c r="F37" s="51" t="n">
        <f aca="false">(Dunelm_Data!F35-Dunelm_Data!E35)/Dunelm_Data!E35</f>
        <v>-0.365931721194879</v>
      </c>
      <c r="G37" s="51" t="n">
        <f aca="false">(Dunelm_Data!G35-Dunelm_Data!F35)/Dunelm_Data!F35</f>
        <v>-0.228827818283791</v>
      </c>
      <c r="H37" s="51" t="n">
        <f aca="false">(Dunelm_Data!H35-Dunelm_Data!G35)/Dunelm_Data!G35</f>
        <v>0.00290909090909095</v>
      </c>
      <c r="I37" s="47"/>
      <c r="J37" s="50" t="s">
        <v>209</v>
      </c>
      <c r="K37" s="51" t="n">
        <f aca="false">(Chemring_Data!D37-Chemring_Data!C37)/Chemring_Data!C37</f>
        <v>0.0703883495145631</v>
      </c>
      <c r="L37" s="51" t="n">
        <f aca="false">(Chemring_Data!E37-Chemring_Data!D37)/Chemring_Data!D37</f>
        <v>0.185090702947846</v>
      </c>
      <c r="M37" s="51" t="n">
        <f aca="false">(Chemring_Data!F37-Chemring_Data!E37)/Chemring_Data!E37</f>
        <v>-0.0947141832097585</v>
      </c>
      <c r="N37" s="51" t="n">
        <f aca="false">(Chemring_Data!G37-Chemring_Data!F37)/Chemring_Data!F37</f>
        <v>-0.0586525759577278</v>
      </c>
      <c r="O37" s="51" t="n">
        <f aca="false">(Chemring_Data!H37-Chemring_Data!G37)/Chemring_Data!G37</f>
        <v>0.0721302273365141</v>
      </c>
      <c r="P37" s="49" t="s">
        <v>266</v>
      </c>
    </row>
    <row r="38" customFormat="false" ht="6" hidden="false" customHeight="true" outlineLevel="0" collapsed="false"/>
    <row r="39" customFormat="false" ht="19.5" hidden="false" customHeight="true" outlineLevel="0" collapsed="false">
      <c r="A39" s="43" t="s">
        <v>267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</row>
    <row r="40" customFormat="false" ht="15.75" hidden="false" customHeight="true" outlineLevel="0" collapsed="false">
      <c r="A40" s="44" t="s">
        <v>268</v>
      </c>
      <c r="B40" s="45" t="s">
        <v>269</v>
      </c>
      <c r="C40" s="46" t="n">
        <f aca="false">ABS(Dunelm_Data!C32)</f>
        <v>44.3</v>
      </c>
      <c r="D40" s="46" t="n">
        <f aca="false">ABS(Dunelm_Data!D32)</f>
        <v>44.6</v>
      </c>
      <c r="E40" s="46" t="n">
        <f aca="false">ABS(Dunelm_Data!E32)</f>
        <v>0</v>
      </c>
      <c r="F40" s="46" t="n">
        <f aca="false">ABS(Dunelm_Data!F32)</f>
        <v>52.8</v>
      </c>
      <c r="G40" s="46" t="n">
        <f aca="false">ABS(Dunelm_Data!G32)</f>
        <v>75.9</v>
      </c>
      <c r="H40" s="46" t="n">
        <f aca="false">ABS(Dunelm_Data!H32)</f>
        <v>77</v>
      </c>
      <c r="I40" s="47"/>
      <c r="J40" s="48" t="n">
        <f aca="false">ABS(Chemring_Data!C31)+ABS(Chemring_Data!C34)</f>
        <v>57.5</v>
      </c>
      <c r="K40" s="48" t="n">
        <f aca="false">ABS(Chemring_Data!D31)+ABS(Chemring_Data!D34)</f>
        <v>28.5</v>
      </c>
      <c r="L40" s="48" t="n">
        <f aca="false">ABS(Chemring_Data!E31)+ABS(Chemring_Data!E34)</f>
        <v>20.9</v>
      </c>
      <c r="M40" s="48" t="n">
        <f aca="false">ABS(Chemring_Data!F31)+ABS(Chemring_Data!F34)</f>
        <v>14.1</v>
      </c>
      <c r="N40" s="48" t="n">
        <f aca="false">ABS(Chemring_Data!G31)+ABS(Chemring_Data!G34)</f>
        <v>86.7</v>
      </c>
      <c r="O40" s="48" t="n">
        <f aca="false">ABS(Chemring_Data!H31)+ABS(Chemring_Data!H34)</f>
        <v>138.8</v>
      </c>
      <c r="P40" s="49" t="s">
        <v>270</v>
      </c>
    </row>
    <row r="41" customFormat="false" ht="15.75" hidden="false" customHeight="true" outlineLevel="0" collapsed="false">
      <c r="A41" s="13" t="s">
        <v>271</v>
      </c>
      <c r="B41" s="45" t="s">
        <v>272</v>
      </c>
      <c r="C41" s="59" t="n">
        <f aca="false">ABS(Dunelm_Data!C34)</f>
        <v>231.3</v>
      </c>
      <c r="D41" s="59" t="n">
        <f aca="false">ABS(Dunelm_Data!D34)</f>
        <v>542.6</v>
      </c>
      <c r="E41" s="59" t="n">
        <f aca="false">ABS(Dunelm_Data!E34)</f>
        <v>485.5</v>
      </c>
      <c r="F41" s="59" t="n">
        <f aca="false">ABS(Dunelm_Data!F34)</f>
        <v>559.6</v>
      </c>
      <c r="G41" s="59" t="n">
        <f aca="false">ABS(Dunelm_Data!G34)</f>
        <v>559.3</v>
      </c>
      <c r="H41" s="59" t="n">
        <f aca="false">ABS(Dunelm_Data!H34)</f>
        <v>544.1</v>
      </c>
      <c r="I41" s="47"/>
      <c r="J41" s="59" t="n">
        <f aca="false">ABS(Chemring_Data!C36)</f>
        <v>211.8</v>
      </c>
      <c r="K41" s="59" t="n">
        <f aca="false">ABS(Chemring_Data!D36)</f>
        <v>178.7</v>
      </c>
      <c r="L41" s="59" t="n">
        <f aca="false">ABS(Chemring_Data!E36)</f>
        <v>202</v>
      </c>
      <c r="M41" s="59" t="n">
        <f aca="false">ABS(Chemring_Data!F36)</f>
        <v>217.9</v>
      </c>
      <c r="N41" s="59" t="n">
        <f aca="false">ABS(Chemring_Data!G36)</f>
        <v>335.8</v>
      </c>
      <c r="O41" s="59" t="n">
        <f aca="false">ABS(Chemring_Data!H36)</f>
        <v>481.1</v>
      </c>
      <c r="P41" s="49" t="s">
        <v>273</v>
      </c>
    </row>
    <row r="42" customFormat="false" ht="6" hidden="false" customHeight="true" outlineLevel="0" collapsed="false"/>
    <row r="43" customFormat="false" ht="13.5" hidden="false" customHeight="true" outlineLevel="0" collapsed="false">
      <c r="A43" s="60" t="s">
        <v>274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</row>
  </sheetData>
  <mergeCells count="14">
    <mergeCell ref="A1:T1"/>
    <mergeCell ref="A2:T2"/>
    <mergeCell ref="C4:H4"/>
    <mergeCell ref="J4:O4"/>
    <mergeCell ref="A5:P5"/>
    <mergeCell ref="A10:P10"/>
    <mergeCell ref="A14:P14"/>
    <mergeCell ref="A18:P18"/>
    <mergeCell ref="A22:P22"/>
    <mergeCell ref="A27:P27"/>
    <mergeCell ref="A31:P31"/>
    <mergeCell ref="A35:P35"/>
    <mergeCell ref="A39:P39"/>
    <mergeCell ref="A43:T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60"/>
    <col collapsed="false" customWidth="true" hidden="false" outlineLevel="0" max="8" min="3" style="1" width="11"/>
    <col collapsed="false" customWidth="true" hidden="false" outlineLevel="0" max="9" min="9" style="1" width="3"/>
    <col collapsed="false" customWidth="true" hidden="false" outlineLevel="0" max="15" min="10" style="1" width="11"/>
    <col collapsed="false" customWidth="true" hidden="false" outlineLevel="0" max="16" min="16" style="1" width="38"/>
  </cols>
  <sheetData>
    <row r="1" customFormat="false" ht="25.5" hidden="false" customHeight="true" outlineLevel="0" collapsed="false">
      <c r="A1" s="33" t="s">
        <v>275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5.75" hidden="false" customHeight="true" outlineLevel="0" collapsed="false">
      <c r="A2" s="34" t="s">
        <v>276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customFormat="false" ht="30" hidden="false" customHeight="true" outlineLevel="0" collapsed="false">
      <c r="A3" s="15" t="s">
        <v>33</v>
      </c>
      <c r="B3" s="15" t="s">
        <v>191</v>
      </c>
      <c r="C3" s="35" t="s">
        <v>192</v>
      </c>
      <c r="D3" s="35" t="s">
        <v>193</v>
      </c>
      <c r="E3" s="35" t="s">
        <v>194</v>
      </c>
      <c r="F3" s="35" t="s">
        <v>195</v>
      </c>
      <c r="G3" s="35" t="s">
        <v>196</v>
      </c>
      <c r="H3" s="35" t="s">
        <v>197</v>
      </c>
      <c r="I3" s="36"/>
      <c r="J3" s="37" t="s">
        <v>193</v>
      </c>
      <c r="K3" s="37" t="s">
        <v>194</v>
      </c>
      <c r="L3" s="37" t="s">
        <v>195</v>
      </c>
      <c r="M3" s="37" t="s">
        <v>196</v>
      </c>
      <c r="N3" s="37" t="s">
        <v>197</v>
      </c>
      <c r="O3" s="37" t="s">
        <v>198</v>
      </c>
      <c r="P3" s="38" t="s">
        <v>199</v>
      </c>
    </row>
    <row r="4" customFormat="false" ht="18" hidden="false" customHeight="true" outlineLevel="0" collapsed="false">
      <c r="A4" s="39"/>
      <c r="B4" s="40" t="s">
        <v>277</v>
      </c>
      <c r="C4" s="41" t="s">
        <v>201</v>
      </c>
      <c r="D4" s="41"/>
      <c r="E4" s="41"/>
      <c r="F4" s="41"/>
      <c r="G4" s="41"/>
      <c r="H4" s="41"/>
      <c r="I4" s="39"/>
      <c r="J4" s="42" t="s">
        <v>202</v>
      </c>
      <c r="K4" s="42"/>
      <c r="L4" s="42"/>
      <c r="M4" s="42"/>
      <c r="N4" s="42"/>
      <c r="O4" s="42"/>
      <c r="P4" s="39"/>
    </row>
    <row r="5" customFormat="false" ht="19.5" hidden="false" customHeight="true" outlineLevel="0" collapsed="false">
      <c r="A5" s="43" t="s">
        <v>278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customFormat="false" ht="15.75" hidden="false" customHeight="true" outlineLevel="0" collapsed="false">
      <c r="A6" s="44" t="s">
        <v>279</v>
      </c>
      <c r="B6" s="45" t="s">
        <v>280</v>
      </c>
      <c r="C6" s="61" t="n">
        <f aca="false">Dunelm_Data!C7/Dunelm_Data!C5</f>
        <v>0.495819701926572</v>
      </c>
      <c r="D6" s="61" t="n">
        <f aca="false">Dunelm_Data!D7/Dunelm_Data!D5</f>
        <v>0.503261177805086</v>
      </c>
      <c r="E6" s="61" t="n">
        <f aca="false">Dunelm_Data!E7/Dunelm_Data!E5</f>
        <v>0.515566531956294</v>
      </c>
      <c r="F6" s="61" t="n">
        <f aca="false">Dunelm_Data!F7/Dunelm_Data!F5</f>
        <v>0.51182496522069</v>
      </c>
      <c r="G6" s="61" t="n">
        <f aca="false">Dunelm_Data!G7/Dunelm_Data!G5</f>
        <v>0.500915303880889</v>
      </c>
      <c r="H6" s="61" t="n">
        <f aca="false">Dunelm_Data!H7/Dunelm_Data!H5</f>
        <v>0.517609141517726</v>
      </c>
      <c r="I6" s="47"/>
      <c r="J6" s="62" t="n">
        <f aca="false">Chemring_Data!C6/Chemring_Data!C5</f>
        <v>0.115031055900621</v>
      </c>
      <c r="K6" s="62" t="n">
        <f aca="false">Chemring_Data!D6/Chemring_Data!D5</f>
        <v>0.128146453089245</v>
      </c>
      <c r="L6" s="62" t="n">
        <f aca="false">Chemring_Data!E6/Chemring_Data!E5</f>
        <v>0.123192019950125</v>
      </c>
      <c r="M6" s="62" t="n">
        <f aca="false">Chemring_Data!F6/Chemring_Data!F5</f>
        <v>0.0960643250105798</v>
      </c>
      <c r="N6" s="62" t="n">
        <f aca="false">Chemring_Data!G6/Chemring_Data!G5</f>
        <v>0.1159123489658</v>
      </c>
      <c r="O6" s="62" t="n">
        <f aca="false">Chemring_Data!H6/Chemring_Data!H5</f>
        <v>0.147537688442211</v>
      </c>
      <c r="P6" s="49" t="s">
        <v>281</v>
      </c>
    </row>
    <row r="7" customFormat="false" ht="15.75" hidden="false" customHeight="true" outlineLevel="0" collapsed="false">
      <c r="A7" s="13" t="s">
        <v>282</v>
      </c>
      <c r="B7" s="45" t="s">
        <v>283</v>
      </c>
      <c r="C7" s="51" t="n">
        <f aca="false">Dunelm_Data!C9/Dunelm_Data!C5</f>
        <v>0.115321701199564</v>
      </c>
      <c r="D7" s="51" t="n">
        <f aca="false">Dunelm_Data!D9/Dunelm_Data!D5</f>
        <v>0.109651195765195</v>
      </c>
      <c r="E7" s="51" t="n">
        <f aca="false">Dunelm_Data!E9/Dunelm_Data!E5</f>
        <v>0.124532255650352</v>
      </c>
      <c r="F7" s="51" t="n">
        <f aca="false">Dunelm_Data!F9/Dunelm_Data!F5</f>
        <v>0.13766283040344</v>
      </c>
      <c r="G7" s="51" t="n">
        <f aca="false">Dunelm_Data!G9/Dunelm_Data!G5</f>
        <v>0.121308274347083</v>
      </c>
      <c r="H7" s="51" t="n">
        <f aca="false">Dunelm_Data!H9/Dunelm_Data!H5</f>
        <v>0.124992675065924</v>
      </c>
      <c r="I7" s="47"/>
      <c r="J7" s="51" t="n">
        <f aca="false">Chemring_Data!C6/Chemring_Data!C5</f>
        <v>0.115031055900621</v>
      </c>
      <c r="K7" s="51" t="n">
        <f aca="false">Chemring_Data!D6/Chemring_Data!D5</f>
        <v>0.128146453089245</v>
      </c>
      <c r="L7" s="51" t="n">
        <f aca="false">Chemring_Data!E6/Chemring_Data!E5</f>
        <v>0.123192019950125</v>
      </c>
      <c r="M7" s="51" t="n">
        <f aca="false">Chemring_Data!F6/Chemring_Data!F5</f>
        <v>0.0960643250105798</v>
      </c>
      <c r="N7" s="51" t="n">
        <f aca="false">Chemring_Data!G6/Chemring_Data!G5</f>
        <v>0.1159123489658</v>
      </c>
      <c r="O7" s="51" t="n">
        <f aca="false">Chemring_Data!H6/Chemring_Data!H5</f>
        <v>0.147537688442211</v>
      </c>
      <c r="P7" s="49" t="s">
        <v>284</v>
      </c>
    </row>
    <row r="8" customFormat="false" ht="15.75" hidden="false" customHeight="true" outlineLevel="0" collapsed="false">
      <c r="A8" s="9" t="s">
        <v>285</v>
      </c>
      <c r="B8" s="45" t="s">
        <v>286</v>
      </c>
      <c r="C8" s="53" t="n">
        <f aca="false">Dunelm_Data!C14/Dunelm_Data!C5</f>
        <v>0.0920574336604871</v>
      </c>
      <c r="D8" s="53" t="n">
        <f aca="false">Dunelm_Data!D14/Dunelm_Data!D5</f>
        <v>0.0829000850742036</v>
      </c>
      <c r="E8" s="53" t="n">
        <f aca="false">Dunelm_Data!E14/Dunelm_Data!E5</f>
        <v>0.0964675946714564</v>
      </c>
      <c r="F8" s="53" t="n">
        <f aca="false">Dunelm_Data!F14/Dunelm_Data!F5</f>
        <v>0.108258505122044</v>
      </c>
      <c r="G8" s="53" t="n">
        <f aca="false">Dunelm_Data!G14/Dunelm_Data!G5</f>
        <v>0.0926897730046375</v>
      </c>
      <c r="H8" s="53" t="n">
        <f aca="false">Dunelm_Data!H14/Dunelm_Data!H5</f>
        <v>0.0886024025783768</v>
      </c>
      <c r="I8" s="47"/>
      <c r="J8" s="55" t="n">
        <f aca="false">Chemring_Data!C13/Chemring_Data!C5</f>
        <v>0.0862111801242236</v>
      </c>
      <c r="K8" s="55" t="n">
        <f aca="false">Chemring_Data!D13/Chemring_Data!D5</f>
        <v>0.105517416730231</v>
      </c>
      <c r="L8" s="55" t="n">
        <f aca="false">Chemring_Data!E13/Chemring_Data!E5</f>
        <v>0.118204488778055</v>
      </c>
      <c r="M8" s="55" t="n">
        <f aca="false">Chemring_Data!F13/Chemring_Data!F5</f>
        <v>0.011426153195091</v>
      </c>
      <c r="N8" s="55" t="n">
        <f aca="false">Chemring_Data!G13/Chemring_Data!G5</f>
        <v>0.0808928937128814</v>
      </c>
      <c r="O8" s="55" t="n">
        <f aca="false">Chemring_Data!H13/Chemring_Data!H5</f>
        <v>0.0968844221105528</v>
      </c>
      <c r="P8" s="49" t="s">
        <v>287</v>
      </c>
    </row>
    <row r="9" customFormat="false" ht="15.75" hidden="false" customHeight="true" outlineLevel="0" collapsed="false">
      <c r="A9" s="13" t="s">
        <v>288</v>
      </c>
      <c r="B9" s="45" t="s">
        <v>289</v>
      </c>
      <c r="C9" s="51" t="n">
        <f aca="false">Dunelm_Data!C12/Dunelm_Data!C5</f>
        <v>0.114412940748819</v>
      </c>
      <c r="D9" s="51" t="n">
        <f aca="false">Dunelm_Data!D12/Dunelm_Data!D5</f>
        <v>0.103128840155024</v>
      </c>
      <c r="E9" s="51" t="n">
        <f aca="false">Dunelm_Data!E12/Dunelm_Data!E5</f>
        <v>0.118096093399192</v>
      </c>
      <c r="F9" s="51" t="n">
        <f aca="false">Dunelm_Data!F12/Dunelm_Data!F5</f>
        <v>0.13456431010497</v>
      </c>
      <c r="G9" s="51" t="n">
        <f aca="false">Dunelm_Data!G12/Dunelm_Data!G5</f>
        <v>0.117586038564804</v>
      </c>
      <c r="H9" s="51" t="n">
        <f aca="false">Dunelm_Data!H12/Dunelm_Data!H5</f>
        <v>0.120363316730149</v>
      </c>
      <c r="I9" s="47"/>
      <c r="J9" s="51" t="n">
        <f aca="false">Chemring_Data!C9/Chemring_Data!C5</f>
        <v>0.107577639751553</v>
      </c>
      <c r="K9" s="51" t="n">
        <f aca="false">Chemring_Data!D9/Chemring_Data!D5</f>
        <v>0.124078311721332</v>
      </c>
      <c r="L9" s="51" t="n">
        <f aca="false">Chemring_Data!E9/Chemring_Data!E5</f>
        <v>0.119451371571072</v>
      </c>
      <c r="M9" s="51" t="n">
        <f aca="false">Chemring_Data!F9/Chemring_Data!F5</f>
        <v>0.0933135844265764</v>
      </c>
      <c r="N9" s="51" t="n">
        <f aca="false">Chemring_Data!G9/Chemring_Data!G5</f>
        <v>0.106082326438665</v>
      </c>
      <c r="O9" s="51" t="n">
        <f aca="false">Chemring_Data!H9/Chemring_Data!H5</f>
        <v>0.13608040201005</v>
      </c>
      <c r="P9" s="49" t="s">
        <v>290</v>
      </c>
    </row>
    <row r="10" customFormat="false" ht="6" hidden="false" customHeight="true" outlineLevel="0" collapsed="false"/>
    <row r="11" customFormat="false" ht="19.5" hidden="false" customHeight="true" outlineLevel="0" collapsed="false">
      <c r="A11" s="43" t="s">
        <v>291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</row>
    <row r="12" customFormat="false" ht="15.75" hidden="false" customHeight="true" outlineLevel="0" collapsed="false">
      <c r="A12" s="9" t="s">
        <v>292</v>
      </c>
      <c r="B12" s="45" t="s">
        <v>293</v>
      </c>
      <c r="C12" s="53" t="n">
        <f aca="false">ABS(Dunelm_Data!C6)/Dunelm_Data!C5</f>
        <v>0.504180298073428</v>
      </c>
      <c r="D12" s="53" t="n">
        <f aca="false">ABS(Dunelm_Data!D6)/Dunelm_Data!D5</f>
        <v>0.496738822194914</v>
      </c>
      <c r="E12" s="53" t="n">
        <f aca="false">ABS(Dunelm_Data!E6)/Dunelm_Data!E5</f>
        <v>0.484433468043706</v>
      </c>
      <c r="F12" s="53" t="n">
        <f aca="false">ABS(Dunelm_Data!F6)/Dunelm_Data!F5</f>
        <v>0.488175034779309</v>
      </c>
      <c r="G12" s="53" t="n">
        <f aca="false">ABS(Dunelm_Data!G6)/Dunelm_Data!G5</f>
        <v>0.499084696119112</v>
      </c>
      <c r="H12" s="53" t="n">
        <f aca="false">ABS(Dunelm_Data!H6)/Dunelm_Data!H5</f>
        <v>0.482390858482274</v>
      </c>
      <c r="I12" s="47"/>
      <c r="J12" s="54" t="s">
        <v>294</v>
      </c>
      <c r="K12" s="54" t="s">
        <v>294</v>
      </c>
      <c r="L12" s="54" t="s">
        <v>294</v>
      </c>
      <c r="M12" s="54" t="s">
        <v>294</v>
      </c>
      <c r="N12" s="54" t="s">
        <v>294</v>
      </c>
      <c r="O12" s="54" t="s">
        <v>294</v>
      </c>
      <c r="P12" s="49" t="s">
        <v>295</v>
      </c>
    </row>
    <row r="13" customFormat="false" ht="15.75" hidden="false" customHeight="true" outlineLevel="0" collapsed="false">
      <c r="A13" s="13" t="s">
        <v>296</v>
      </c>
      <c r="B13" s="45" t="s">
        <v>297</v>
      </c>
      <c r="C13" s="51" t="n">
        <f aca="false">ABS(Dunelm_Data!C8)/Dunelm_Data!C5</f>
        <v>0.380498000727008</v>
      </c>
      <c r="D13" s="51" t="n">
        <f aca="false">ABS(Dunelm_Data!D8)/Dunelm_Data!D5</f>
        <v>0.39360998203989</v>
      </c>
      <c r="E13" s="51" t="n">
        <f aca="false">ABS(Dunelm_Data!E8)/Dunelm_Data!E5</f>
        <v>0.391034276305942</v>
      </c>
      <c r="F13" s="51" t="n">
        <f aca="false">ABS(Dunelm_Data!F8)/Dunelm_Data!F5</f>
        <v>0.374162134817251</v>
      </c>
      <c r="G13" s="51" t="n">
        <f aca="false">ABS(Dunelm_Data!G8)/Dunelm_Data!G5</f>
        <v>0.379607029533805</v>
      </c>
      <c r="H13" s="51" t="n">
        <f aca="false">ABS(Dunelm_Data!H8)/Dunelm_Data!H5</f>
        <v>0.392616466451802</v>
      </c>
      <c r="I13" s="47"/>
      <c r="J13" s="50" t="s">
        <v>298</v>
      </c>
      <c r="K13" s="50" t="s">
        <v>298</v>
      </c>
      <c r="L13" s="50" t="s">
        <v>298</v>
      </c>
      <c r="M13" s="50" t="s">
        <v>298</v>
      </c>
      <c r="N13" s="50" t="s">
        <v>298</v>
      </c>
      <c r="O13" s="50" t="s">
        <v>298</v>
      </c>
      <c r="P13" s="49" t="s">
        <v>299</v>
      </c>
    </row>
    <row r="14" customFormat="false" ht="15.75" hidden="false" customHeight="true" outlineLevel="0" collapsed="false">
      <c r="A14" s="44" t="s">
        <v>300</v>
      </c>
      <c r="B14" s="45" t="s">
        <v>301</v>
      </c>
      <c r="C14" s="46" t="n">
        <f aca="false">Dunelm_Data!C9+Dunelm_Data!C40+Dunelm_Data!C41</f>
        <v>159.6</v>
      </c>
      <c r="D14" s="46" t="n">
        <f aca="false">Dunelm_Data!D9+Dunelm_Data!D40+Dunelm_Data!D41</f>
        <v>194.3</v>
      </c>
      <c r="E14" s="46" t="n">
        <f aca="false">Dunelm_Data!E9+Dunelm_Data!E40+Dunelm_Data!E41</f>
        <v>243.9</v>
      </c>
      <c r="F14" s="46" t="n">
        <f aca="false">Dunelm_Data!F9+Dunelm_Data!F40+Dunelm_Data!F41</f>
        <v>296.8</v>
      </c>
      <c r="G14" s="46" t="n">
        <f aca="false">Dunelm_Data!G9+Dunelm_Data!G40+Dunelm_Data!G41</f>
        <v>277.9</v>
      </c>
      <c r="H14" s="46" t="n">
        <f aca="false">Dunelm_Data!H9+Dunelm_Data!H40+Dunelm_Data!H41</f>
        <v>293.9</v>
      </c>
      <c r="I14" s="47"/>
      <c r="J14" s="48" t="n">
        <f aca="false">Chemring_Data!C6+Chemring_Data!C56</f>
        <v>64.3</v>
      </c>
      <c r="K14" s="48" t="n">
        <f aca="false">Chemring_Data!D6+Chemring_Data!D56</f>
        <v>68.9</v>
      </c>
      <c r="L14" s="48" t="n">
        <f aca="false">Chemring_Data!E6+Chemring_Data!E56</f>
        <v>68.4</v>
      </c>
      <c r="M14" s="48" t="n">
        <f aca="false">Chemring_Data!F6+Chemring_Data!F56</f>
        <v>65.4</v>
      </c>
      <c r="N14" s="48" t="n">
        <f aca="false">Chemring_Data!G6+Chemring_Data!G56</f>
        <v>78.6</v>
      </c>
      <c r="O14" s="48" t="n">
        <f aca="false">Chemring_Data!H6+Chemring_Data!H56</f>
        <v>98.4</v>
      </c>
      <c r="P14" s="49" t="s">
        <v>302</v>
      </c>
    </row>
    <row r="15" customFormat="false" ht="15.75" hidden="false" customHeight="true" outlineLevel="0" collapsed="false">
      <c r="A15" s="13" t="s">
        <v>303</v>
      </c>
      <c r="B15" s="45" t="s">
        <v>304</v>
      </c>
      <c r="C15" s="51" t="n">
        <f aca="false">(Dunelm_Data!C9+Dunelm_Data!C40+Dunelm_Data!C41)/Dunelm_Data!C5</f>
        <v>0.145038167938931</v>
      </c>
      <c r="D15" s="51" t="n">
        <f aca="false">(Dunelm_Data!D9+Dunelm_Data!D40+Dunelm_Data!D41)/Dunelm_Data!D5</f>
        <v>0.183665752906702</v>
      </c>
      <c r="E15" s="51" t="n">
        <f aca="false">(Dunelm_Data!E9+Dunelm_Data!E40+Dunelm_Data!E41)/Dunelm_Data!E5</f>
        <v>0.182532555006736</v>
      </c>
      <c r="F15" s="51" t="n">
        <f aca="false">(Dunelm_Data!F9+Dunelm_Data!F40+Dunelm_Data!F41)/Dunelm_Data!F5</f>
        <v>0.18768180093588</v>
      </c>
      <c r="G15" s="51" t="n">
        <f aca="false">(Dunelm_Data!G9+Dunelm_Data!G40+Dunelm_Data!G41)/Dunelm_Data!G5</f>
        <v>0.169575298999268</v>
      </c>
      <c r="H15" s="51" t="n">
        <f aca="false">(Dunelm_Data!H9+Dunelm_Data!H40+Dunelm_Data!H41)/Dunelm_Data!H5</f>
        <v>0.17222384998535</v>
      </c>
      <c r="I15" s="47"/>
      <c r="J15" s="51" t="n">
        <f aca="false">(Chemring_Data!C6+Chemring_Data!C56)/Chemring_Data!C5</f>
        <v>0.159751552795031</v>
      </c>
      <c r="K15" s="51" t="n">
        <f aca="false">(Chemring_Data!D6+Chemring_Data!D56)/Chemring_Data!D5</f>
        <v>0.175184337655734</v>
      </c>
      <c r="L15" s="51" t="n">
        <f aca="false">(Chemring_Data!E6+Chemring_Data!E56)/Chemring_Data!E5</f>
        <v>0.170573566084788</v>
      </c>
      <c r="M15" s="51" t="n">
        <f aca="false">(Chemring_Data!F6+Chemring_Data!F56)/Chemring_Data!F5</f>
        <v>0.138383410918324</v>
      </c>
      <c r="N15" s="51" t="n">
        <f aca="false">(Chemring_Data!G6+Chemring_Data!G56)/Chemring_Data!G5</f>
        <v>0.160966618881835</v>
      </c>
      <c r="O15" s="51" t="n">
        <f aca="false">(Chemring_Data!H6+Chemring_Data!H56)/Chemring_Data!H5</f>
        <v>0.197788944723618</v>
      </c>
      <c r="P15" s="49" t="s">
        <v>305</v>
      </c>
    </row>
    <row r="16" customFormat="false" ht="6" hidden="false" customHeight="true" outlineLevel="0" collapsed="false"/>
    <row r="17" customFormat="false" ht="19.5" hidden="false" customHeight="true" outlineLevel="0" collapsed="false">
      <c r="A17" s="43" t="s">
        <v>306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8" customFormat="false" ht="15.75" hidden="false" customHeight="true" outlineLevel="0" collapsed="false">
      <c r="A18" s="44" t="s">
        <v>307</v>
      </c>
      <c r="B18" s="45" t="s">
        <v>308</v>
      </c>
      <c r="C18" s="63" t="s">
        <v>209</v>
      </c>
      <c r="D18" s="61" t="n">
        <f aca="false">Dunelm_Data!D14/((Dunelm_Data!D35+Dunelm_Data!C35)/2)</f>
        <v>0.488307349665924</v>
      </c>
      <c r="E18" s="61" t="n">
        <f aca="false">Dunelm_Data!E14/((Dunelm_Data!E35+Dunelm_Data!D35)/2)</f>
        <v>0.567091948966124</v>
      </c>
      <c r="F18" s="61" t="n">
        <f aca="false">Dunelm_Data!F14/((Dunelm_Data!F35+Dunelm_Data!E35)/2)</f>
        <v>0.745157780195865</v>
      </c>
      <c r="G18" s="61" t="n">
        <f aca="false">Dunelm_Data!G14/((Dunelm_Data!G35+Dunelm_Data!F35)/2)</f>
        <v>0.962001266624446</v>
      </c>
      <c r="H18" s="61" t="n">
        <f aca="false">Dunelm_Data!H14/((Dunelm_Data!H35+Dunelm_Data!G35)/2)</f>
        <v>1.09803921568627</v>
      </c>
      <c r="I18" s="47"/>
      <c r="J18" s="64" t="s">
        <v>209</v>
      </c>
      <c r="K18" s="62" t="n">
        <f aca="false">Chemring_Data!D13/((Chemring_Data!D37+Chemring_Data!C37)/2)</f>
        <v>0.121629542790152</v>
      </c>
      <c r="L18" s="62" t="n">
        <f aca="false">Chemring_Data!E13/((Chemring_Data!E37+Chemring_Data!D37)/2)</f>
        <v>0.122973148268258</v>
      </c>
      <c r="M18" s="62" t="n">
        <f aca="false">Chemring_Data!F13/((Chemring_Data!F37+Chemring_Data!E37)/2)</f>
        <v>0.0135576198845092</v>
      </c>
      <c r="N18" s="62" t="n">
        <f aca="false">Chemring_Data!G13/((Chemring_Data!G37+Chemring_Data!F37)/2)</f>
        <v>0.107512248230811</v>
      </c>
      <c r="O18" s="62" t="n">
        <f aca="false">Chemring_Data!H13/((Chemring_Data!H37+Chemring_Data!G37)/2)</f>
        <v>0.130570228904239</v>
      </c>
      <c r="P18" s="49" t="s">
        <v>309</v>
      </c>
    </row>
    <row r="19" customFormat="false" ht="15.75" hidden="false" customHeight="true" outlineLevel="0" collapsed="false">
      <c r="A19" s="65" t="s">
        <v>310</v>
      </c>
      <c r="B19" s="45" t="s">
        <v>311</v>
      </c>
      <c r="C19" s="66" t="s">
        <v>209</v>
      </c>
      <c r="D19" s="67" t="n">
        <f aca="false">Dunelm_Data!D9/((Dunelm_Data!C27-ABS(Dunelm_Data!C28)+Dunelm_Data!D27-ABS(Dunelm_Data!D28))/2)</f>
        <v>0.307081403044342</v>
      </c>
      <c r="E19" s="67" t="n">
        <f aca="false">Dunelm_Data!E9/((Dunelm_Data!D27-ABS(Dunelm_Data!D28)+Dunelm_Data!E27-ABS(Dunelm_Data!E28))/2)</f>
        <v>0.326594700686948</v>
      </c>
      <c r="F19" s="67" t="n">
        <f aca="false">Dunelm_Data!F9/((Dunelm_Data!E27-ABS(Dunelm_Data!E28)+Dunelm_Data!F27-ABS(Dunelm_Data!F28))/2)</f>
        <v>0.438601793089554</v>
      </c>
      <c r="G19" s="67" t="n">
        <f aca="false">Dunelm_Data!G9/((Dunelm_Data!F27-ABS(Dunelm_Data!F28)+Dunelm_Data!G27-ABS(Dunelm_Data!G28))/2)</f>
        <v>0.447193791474525</v>
      </c>
      <c r="H19" s="67" t="n">
        <f aca="false">Dunelm_Data!H9/((Dunelm_Data!G27-ABS(Dunelm_Data!G28)+Dunelm_Data!H27-ABS(Dunelm_Data!H28))/2)</f>
        <v>0.50443419652359</v>
      </c>
      <c r="I19" s="47"/>
      <c r="J19" s="66" t="s">
        <v>209</v>
      </c>
      <c r="K19" s="67" t="n">
        <f aca="false">Chemring_Data!D6/((Chemring_Data!C30-ABS(Chemring_Data!C33)+Chemring_Data!D30-ABS(Chemring_Data!D33))/2)</f>
        <v>0.117400419287212</v>
      </c>
      <c r="L19" s="67" t="n">
        <f aca="false">Chemring_Data!E6/((Chemring_Data!D30-ABS(Chemring_Data!D33)+Chemring_Data!E30-ABS(Chemring_Data!E33))/2)</f>
        <v>0.105623262775283</v>
      </c>
      <c r="M19" s="67" t="n">
        <f aca="false">Chemring_Data!F6/((Chemring_Data!E30-ABS(Chemring_Data!E33)+Chemring_Data!F30-ABS(Chemring_Data!F33))/2)</f>
        <v>0.0945144165712501</v>
      </c>
      <c r="N19" s="67" t="n">
        <f aca="false">Chemring_Data!G6/((Chemring_Data!F30-ABS(Chemring_Data!F33)+Chemring_Data!G30-ABS(Chemring_Data!G33))/2)</f>
        <v>0.115971724208585</v>
      </c>
      <c r="O19" s="67" t="n">
        <f aca="false">Chemring_Data!H6/((Chemring_Data!G30-ABS(Chemring_Data!G33)+Chemring_Data!H30-ABS(Chemring_Data!H33))/2)</f>
        <v>0.124038867765104</v>
      </c>
      <c r="P19" s="49" t="s">
        <v>312</v>
      </c>
    </row>
    <row r="20" customFormat="false" ht="15.75" hidden="false" customHeight="true" outlineLevel="0" collapsed="false">
      <c r="A20" s="9" t="s">
        <v>313</v>
      </c>
      <c r="B20" s="45" t="s">
        <v>314</v>
      </c>
      <c r="C20" s="53" t="n">
        <f aca="false">Dunelm_Data!C14/Dunelm_Data!C27</f>
        <v>0.242867417885399</v>
      </c>
      <c r="D20" s="53" t="n">
        <f aca="false">Dunelm_Data!D14/Dunelm_Data!D27</f>
        <v>0.122486033519553</v>
      </c>
      <c r="E20" s="53" t="n">
        <f aca="false">Dunelm_Data!E14/Dunelm_Data!E27</f>
        <v>0.168123125081518</v>
      </c>
      <c r="F20" s="53" t="n">
        <f aca="false">Dunelm_Data!F14/Dunelm_Data!F27</f>
        <v>0.232009757419705</v>
      </c>
      <c r="G20" s="53" t="n">
        <f aca="false">Dunelm_Data!G14/Dunelm_Data!G27</f>
        <v>0.217996555683123</v>
      </c>
      <c r="H20" s="53" t="n">
        <f aca="false">Dunelm_Data!H14/Dunelm_Data!H27</f>
        <v>0.221700879765396</v>
      </c>
      <c r="I20" s="47"/>
      <c r="J20" s="55" t="n">
        <f aca="false">Chemring_Data!C13/Chemring_Data!C30</f>
        <v>0.0640930919837459</v>
      </c>
      <c r="K20" s="55" t="n">
        <f aca="false">Chemring_Data!D13/Chemring_Data!D30</f>
        <v>0.0780809031044215</v>
      </c>
      <c r="L20" s="55" t="n">
        <f aca="false">Chemring_Data!E13/Chemring_Data!E30</f>
        <v>0.0764392839864538</v>
      </c>
      <c r="M20" s="55" t="n">
        <f aca="false">Chemring_Data!F13/Chemring_Data!F30</f>
        <v>0.00905432595573441</v>
      </c>
      <c r="N20" s="55" t="n">
        <f aca="false">Chemring_Data!G13/Chemring_Data!G30</f>
        <v>0.0570726773587632</v>
      </c>
      <c r="O20" s="55" t="n">
        <f aca="false">Chemring_Data!H13/Chemring_Data!H30</f>
        <v>0.0558452091298807</v>
      </c>
      <c r="P20" s="49" t="s">
        <v>315</v>
      </c>
    </row>
    <row r="21" customFormat="false" ht="15.75" hidden="false" customHeight="true" outlineLevel="0" collapsed="false">
      <c r="A21" s="13" t="s">
        <v>316</v>
      </c>
      <c r="B21" s="45" t="s">
        <v>317</v>
      </c>
      <c r="C21" s="68" t="n">
        <f aca="false">Dunelm_Data!C15/Dunelm_Data!C55</f>
        <v>1.85239852398524</v>
      </c>
      <c r="D21" s="68" t="n">
        <f aca="false">Dunelm_Data!D15/Dunelm_Data!D55</f>
        <v>0.826666666666667</v>
      </c>
      <c r="E21" s="68" t="n">
        <f aca="false">Dunelm_Data!E15/Dunelm_Data!E55</f>
        <v>5.30833333333333</v>
      </c>
      <c r="F21" s="68" t="n">
        <f aca="false">Dunelm_Data!F15/Dunelm_Data!F55</f>
        <v>0.607040229885058</v>
      </c>
      <c r="G21" s="68" t="n">
        <f aca="false">Dunelm_Data!G15/Dunelm_Data!G55</f>
        <v>0.930693069306931</v>
      </c>
      <c r="H21" s="68" t="n">
        <f aca="false">Dunelm_Data!H15/Dunelm_Data!H55</f>
        <v>0.960154241645244</v>
      </c>
      <c r="I21" s="47"/>
      <c r="J21" s="68" t="n">
        <f aca="false">Chemring_Data!C14/Chemring_Data!C55</f>
        <v>3.32432432432432</v>
      </c>
      <c r="K21" s="68" t="n">
        <f aca="false">Chemring_Data!D14/Chemring_Data!D55</f>
        <v>3.5</v>
      </c>
      <c r="L21" s="68" t="n">
        <f aca="false">Chemring_Data!E14/Chemring_Data!E55</f>
        <v>3.09803921568628</v>
      </c>
      <c r="M21" s="68" t="n">
        <f aca="false">Chemring_Data!F14/Chemring_Data!F55</f>
        <v>2.12698412698413</v>
      </c>
      <c r="N21" s="68" t="n">
        <f aca="false">Chemring_Data!G14/Chemring_Data!G55</f>
        <v>2.11111111111111</v>
      </c>
      <c r="O21" s="68" t="n">
        <f aca="false">Chemring_Data!H14/Chemring_Data!H55</f>
        <v>2.49367088607595</v>
      </c>
      <c r="P21" s="49" t="s">
        <v>318</v>
      </c>
    </row>
    <row r="22" customFormat="false" ht="15.75" hidden="false" customHeight="true" outlineLevel="0" collapsed="false">
      <c r="A22" s="9" t="s">
        <v>319</v>
      </c>
      <c r="B22" s="45" t="s">
        <v>320</v>
      </c>
      <c r="C22" s="53" t="n">
        <f aca="false">Dunelm_Data!C55/Dunelm_Data!C15</f>
        <v>0.539840637450199</v>
      </c>
      <c r="D22" s="53" t="n">
        <f aca="false">Dunelm_Data!D55/Dunelm_Data!D15</f>
        <v>1.20967741935484</v>
      </c>
      <c r="E22" s="53" t="n">
        <f aca="false">Dunelm_Data!E55/Dunelm_Data!E15</f>
        <v>0.188383045525903</v>
      </c>
      <c r="F22" s="53" t="n">
        <f aca="false">Dunelm_Data!F55/Dunelm_Data!F15</f>
        <v>1.64733727810651</v>
      </c>
      <c r="G22" s="53" t="n">
        <f aca="false">Dunelm_Data!G55/Dunelm_Data!G15</f>
        <v>1.07446808510638</v>
      </c>
      <c r="H22" s="53" t="n">
        <f aca="false">Dunelm_Data!H55/Dunelm_Data!H15</f>
        <v>1.04149933065596</v>
      </c>
      <c r="I22" s="47"/>
      <c r="J22" s="55" t="n">
        <f aca="false">Chemring_Data!C55/Chemring_Data!C14</f>
        <v>0.300813008130081</v>
      </c>
      <c r="K22" s="55" t="n">
        <f aca="false">Chemring_Data!D55/Chemring_Data!D14</f>
        <v>0.285714285714286</v>
      </c>
      <c r="L22" s="55" t="n">
        <f aca="false">Chemring_Data!E55/Chemring_Data!E14</f>
        <v>0.322784810126582</v>
      </c>
      <c r="M22" s="55" t="n">
        <f aca="false">Chemring_Data!F55/Chemring_Data!F14</f>
        <v>0.470149253731343</v>
      </c>
      <c r="N22" s="55" t="n">
        <f aca="false">Chemring_Data!G55/Chemring_Data!G14</f>
        <v>0.473684210526316</v>
      </c>
      <c r="O22" s="55" t="n">
        <f aca="false">Chemring_Data!H55/Chemring_Data!H14</f>
        <v>0.401015228426396</v>
      </c>
      <c r="P22" s="49" t="s">
        <v>321</v>
      </c>
    </row>
    <row r="23" customFormat="false" ht="6" hidden="false" customHeight="true" outlineLevel="0" collapsed="false"/>
    <row r="24" customFormat="false" ht="19.5" hidden="false" customHeight="true" outlineLevel="0" collapsed="false">
      <c r="A24" s="43" t="s">
        <v>322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</row>
    <row r="25" customFormat="false" ht="15.75" hidden="false" customHeight="true" outlineLevel="0" collapsed="false">
      <c r="A25" s="44" t="s">
        <v>323</v>
      </c>
      <c r="B25" s="45" t="s">
        <v>324</v>
      </c>
      <c r="C25" s="61" t="n">
        <f aca="false">Dunelm_Data!C39/Dunelm_Data!C9</f>
        <v>1.37115839243499</v>
      </c>
      <c r="D25" s="61" t="n">
        <f aca="false">Dunelm_Data!D39/Dunelm_Data!D9</f>
        <v>2.10431034482759</v>
      </c>
      <c r="E25" s="61" t="n">
        <f aca="false">Dunelm_Data!E39/Dunelm_Data!E9</f>
        <v>1.10697115384615</v>
      </c>
      <c r="F25" s="61" t="n">
        <f aca="false">Dunelm_Data!F39/Dunelm_Data!F9</f>
        <v>1.15663757464401</v>
      </c>
      <c r="G25" s="61" t="n">
        <f aca="false">Dunelm_Data!G39/Dunelm_Data!G9</f>
        <v>1.2102615694165</v>
      </c>
      <c r="H25" s="61" t="n">
        <f aca="false">Dunelm_Data!H39/Dunelm_Data!H9</f>
        <v>1.08907641819034</v>
      </c>
      <c r="I25" s="47"/>
      <c r="J25" s="62" t="n">
        <f aca="false">Chemring_Data!C42/Chemring_Data!C6</f>
        <v>1.63930885529158</v>
      </c>
      <c r="K25" s="62" t="n">
        <f aca="false">Chemring_Data!D42/Chemring_Data!D6</f>
        <v>1.50198412698413</v>
      </c>
      <c r="L25" s="62" t="n">
        <f aca="false">Chemring_Data!E42/Chemring_Data!E6</f>
        <v>1.62955465587045</v>
      </c>
      <c r="M25" s="62" t="n">
        <f aca="false">Chemring_Data!F42/Chemring_Data!F6</f>
        <v>1.45154185022026</v>
      </c>
      <c r="N25" s="62" t="n">
        <f aca="false">Chemring_Data!G42/Chemring_Data!G6</f>
        <v>1.43109540636042</v>
      </c>
      <c r="O25" s="62" t="n">
        <f aca="false">Chemring_Data!H42/Chemring_Data!H6</f>
        <v>1.24114441416894</v>
      </c>
      <c r="P25" s="49" t="s">
        <v>325</v>
      </c>
    </row>
    <row r="26" customFormat="false" ht="15.75" hidden="false" customHeight="true" outlineLevel="0" collapsed="false">
      <c r="A26" s="65" t="s">
        <v>326</v>
      </c>
      <c r="B26" s="45" t="s">
        <v>327</v>
      </c>
      <c r="C26" s="69" t="n">
        <f aca="false">Dunelm_Data!C39+Dunelm_Data!C42</f>
        <v>162</v>
      </c>
      <c r="D26" s="69" t="n">
        <f aca="false">Dunelm_Data!D39+Dunelm_Data!D42</f>
        <v>223.6</v>
      </c>
      <c r="E26" s="69" t="n">
        <f aca="false">Dunelm_Data!E39+Dunelm_Data!E42</f>
        <v>169.1</v>
      </c>
      <c r="F26" s="69" t="n">
        <f aca="false">Dunelm_Data!F39+Dunelm_Data!F42</f>
        <v>228.5</v>
      </c>
      <c r="G26" s="69" t="n">
        <f aca="false">Dunelm_Data!G39+Dunelm_Data!G42</f>
        <v>219.2</v>
      </c>
      <c r="H26" s="69" t="n">
        <f aca="false">Dunelm_Data!H39+Dunelm_Data!H42</f>
        <v>202.5</v>
      </c>
      <c r="I26" s="47"/>
      <c r="J26" s="69" t="n">
        <f aca="false">Chemring_Data!C42+Chemring_Data!C43</f>
        <v>40.3</v>
      </c>
      <c r="K26" s="69" t="n">
        <f aca="false">Chemring_Data!D42+Chemring_Data!D43</f>
        <v>47.7</v>
      </c>
      <c r="L26" s="69" t="n">
        <f aca="false">Chemring_Data!E42+Chemring_Data!E43</f>
        <v>49</v>
      </c>
      <c r="M26" s="69" t="n">
        <f aca="false">Chemring_Data!F42+Chemring_Data!F43</f>
        <v>33.2</v>
      </c>
      <c r="N26" s="69" t="n">
        <f aca="false">Chemring_Data!G42+Chemring_Data!G43</f>
        <v>18</v>
      </c>
      <c r="O26" s="69" t="n">
        <f aca="false">Chemring_Data!H42+Chemring_Data!H43</f>
        <v>0.899999999999992</v>
      </c>
      <c r="P26" s="49" t="s">
        <v>328</v>
      </c>
    </row>
    <row r="27" customFormat="false" ht="15.75" hidden="false" customHeight="true" outlineLevel="0" collapsed="false">
      <c r="A27" s="9" t="s">
        <v>329</v>
      </c>
      <c r="B27" s="45" t="s">
        <v>330</v>
      </c>
      <c r="C27" s="53" t="n">
        <f aca="false">(Dunelm_Data!C39+Dunelm_Data!C42)/Dunelm_Data!C9</f>
        <v>1.27659574468085</v>
      </c>
      <c r="D27" s="53" t="n">
        <f aca="false">(Dunelm_Data!D39+Dunelm_Data!D42)/Dunelm_Data!D9</f>
        <v>1.92758620689655</v>
      </c>
      <c r="E27" s="53" t="n">
        <f aca="false">(Dunelm_Data!E39+Dunelm_Data!E42)/Dunelm_Data!E9</f>
        <v>1.01622596153846</v>
      </c>
      <c r="F27" s="53" t="n">
        <f aca="false">(Dunelm_Data!F39+Dunelm_Data!F42)/Dunelm_Data!F9</f>
        <v>1.04960955443271</v>
      </c>
      <c r="G27" s="53" t="n">
        <f aca="false">(Dunelm_Data!G39+Dunelm_Data!G42)/Dunelm_Data!G9</f>
        <v>1.10261569416499</v>
      </c>
      <c r="H27" s="53" t="n">
        <f aca="false">(Dunelm_Data!H39+Dunelm_Data!H42)/Dunelm_Data!H9</f>
        <v>0.949367088607595</v>
      </c>
      <c r="I27" s="47"/>
      <c r="J27" s="55" t="n">
        <f aca="false">(Chemring_Data!C42+Chemring_Data!C43)/Chemring_Data!C6</f>
        <v>0.870410367170627</v>
      </c>
      <c r="K27" s="55" t="n">
        <f aca="false">(Chemring_Data!D42+Chemring_Data!D43)/Chemring_Data!D6</f>
        <v>0.946428571428572</v>
      </c>
      <c r="L27" s="55" t="n">
        <f aca="false">(Chemring_Data!E42+Chemring_Data!E43)/Chemring_Data!E6</f>
        <v>0.991902834008097</v>
      </c>
      <c r="M27" s="55" t="n">
        <f aca="false">(Chemring_Data!F42+Chemring_Data!F43)/Chemring_Data!F6</f>
        <v>0.731277533039648</v>
      </c>
      <c r="N27" s="55" t="n">
        <f aca="false">(Chemring_Data!G42+Chemring_Data!G43)/Chemring_Data!G6</f>
        <v>0.318021201413428</v>
      </c>
      <c r="O27" s="55" t="n">
        <f aca="false">(Chemring_Data!H42+Chemring_Data!H43)/Chemring_Data!H6</f>
        <v>0.0122615803814713</v>
      </c>
      <c r="P27" s="49" t="s">
        <v>331</v>
      </c>
    </row>
    <row r="28" customFormat="false" ht="6" hidden="false" customHeight="true" outlineLevel="0" collapsed="false"/>
    <row r="29" customFormat="false" ht="19.5" hidden="false" customHeight="true" outlineLevel="0" collapsed="false">
      <c r="A29" s="43" t="s">
        <v>332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</row>
    <row r="30" customFormat="false" ht="15.75" hidden="false" customHeight="true" outlineLevel="0" collapsed="false">
      <c r="A30" s="9" t="s">
        <v>333</v>
      </c>
      <c r="B30" s="45" t="s">
        <v>334</v>
      </c>
      <c r="C30" s="70" t="n">
        <f aca="false">Dunelm_Data!C5/Dunelm_Data!C27</f>
        <v>2.6382162550947</v>
      </c>
      <c r="D30" s="70" t="n">
        <f aca="false">Dunelm_Data!D5/Dunelm_Data!D27</f>
        <v>1.47751396648045</v>
      </c>
      <c r="E30" s="70" t="n">
        <f aca="false">Dunelm_Data!E5/Dunelm_Data!E27</f>
        <v>1.74279379157428</v>
      </c>
      <c r="F30" s="70" t="n">
        <f aca="false">Dunelm_Data!F5/Dunelm_Data!F27</f>
        <v>2.14310882233365</v>
      </c>
      <c r="G30" s="70" t="n">
        <f aca="false">Dunelm_Data!G5/Dunelm_Data!G27</f>
        <v>2.35189437428243</v>
      </c>
      <c r="H30" s="70" t="n">
        <f aca="false">Dunelm_Data!H5/Dunelm_Data!H27</f>
        <v>2.50219941348974</v>
      </c>
      <c r="I30" s="47"/>
      <c r="J30" s="71" t="n">
        <f aca="false">Chemring_Data!C5/Chemring_Data!C30</f>
        <v>0.743442925748061</v>
      </c>
      <c r="K30" s="71" t="n">
        <f aca="false">Chemring_Data!D5/Chemring_Data!D30</f>
        <v>0.739981185324553</v>
      </c>
      <c r="L30" s="71" t="n">
        <f aca="false">Chemring_Data!E5/Chemring_Data!E30</f>
        <v>0.646669891952911</v>
      </c>
      <c r="M30" s="71" t="n">
        <f aca="false">Chemring_Data!F5/Chemring_Data!F30</f>
        <v>0.792421193829645</v>
      </c>
      <c r="N30" s="71" t="n">
        <f aca="false">Chemring_Data!G5/Chemring_Data!G30</f>
        <v>0.705533882386938</v>
      </c>
      <c r="O30" s="71" t="n">
        <f aca="false">Chemring_Data!H5/Chemring_Data!H30</f>
        <v>0.576410612906963</v>
      </c>
      <c r="P30" s="49" t="s">
        <v>335</v>
      </c>
    </row>
    <row r="31" customFormat="false" ht="15.75" hidden="false" customHeight="true" outlineLevel="0" collapsed="false">
      <c r="A31" s="13" t="s">
        <v>336</v>
      </c>
      <c r="B31" s="45" t="s">
        <v>337</v>
      </c>
      <c r="C31" s="51" t="n">
        <f aca="false">ABS(Dunelm_Data!C13)/Dunelm_Data!C12</f>
        <v>0.19539316918189</v>
      </c>
      <c r="D31" s="51" t="n">
        <f aca="false">ABS(Dunelm_Data!D13)/Dunelm_Data!D12</f>
        <v>0.196150320806599</v>
      </c>
      <c r="E31" s="51" t="n">
        <f aca="false">ABS(Dunelm_Data!E13)/Dunelm_Data!E12</f>
        <v>0.183143219264892</v>
      </c>
      <c r="F31" s="51" t="n">
        <f aca="false">ABS(Dunelm_Data!F13)/Dunelm_Data!F12</f>
        <v>0.195488721804511</v>
      </c>
      <c r="G31" s="51" t="n">
        <f aca="false">ABS(Dunelm_Data!G13)/Dunelm_Data!G12</f>
        <v>0.211728074727556</v>
      </c>
      <c r="H31" s="51" t="n">
        <f aca="false">ABS(Dunelm_Data!H13)/Dunelm_Data!H12</f>
        <v>0.263875365141188</v>
      </c>
      <c r="I31" s="47"/>
      <c r="J31" s="51" t="n">
        <f aca="false">ABS(Chemring_Data!C10)/Chemring_Data!C9</f>
        <v>0.198614318706697</v>
      </c>
      <c r="K31" s="51" t="n">
        <f aca="false">ABS(Chemring_Data!D10)/Chemring_Data!D9</f>
        <v>0.149590163934426</v>
      </c>
      <c r="L31" s="51" t="n">
        <f aca="false">ABS(Chemring_Data!E10)/Chemring_Data!E9</f>
        <v>0.0730688935281837</v>
      </c>
      <c r="M31" s="51" t="n">
        <f aca="false">ABS(Chemring_Data!F10)/Chemring_Data!F9</f>
        <v>0.145124716553288</v>
      </c>
      <c r="N31" s="51" t="n">
        <f aca="false">ABS(Chemring_Data!G10)/Chemring_Data!G9</f>
        <v>0.198841698841699</v>
      </c>
      <c r="O31" s="51" t="n">
        <f aca="false">ABS(Chemring_Data!H10)/Chemring_Data!H9</f>
        <v>0.212703101920236</v>
      </c>
      <c r="P31" s="49" t="s">
        <v>338</v>
      </c>
    </row>
    <row r="32" customFormat="false" ht="6" hidden="false" customHeight="true" outlineLevel="0" collapsed="false"/>
    <row r="33" customFormat="false" ht="13.5" hidden="false" customHeight="true" outlineLevel="0" collapsed="false">
      <c r="A33" s="60" t="s">
        <v>339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</row>
  </sheetData>
  <mergeCells count="10">
    <mergeCell ref="A1:P1"/>
    <mergeCell ref="A2:P2"/>
    <mergeCell ref="C4:H4"/>
    <mergeCell ref="J4:O4"/>
    <mergeCell ref="A5:P5"/>
    <mergeCell ref="A11:P11"/>
    <mergeCell ref="A17:P17"/>
    <mergeCell ref="A24:P24"/>
    <mergeCell ref="A29:P29"/>
    <mergeCell ref="A33:P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60"/>
    <col collapsed="false" customWidth="true" hidden="false" outlineLevel="0" max="8" min="3" style="1" width="11"/>
    <col collapsed="false" customWidth="true" hidden="false" outlineLevel="0" max="9" min="9" style="1" width="3"/>
    <col collapsed="false" customWidth="true" hidden="false" outlineLevel="0" max="15" min="10" style="1" width="11"/>
    <col collapsed="false" customWidth="true" hidden="false" outlineLevel="0" max="16" min="16" style="1" width="38"/>
  </cols>
  <sheetData>
    <row r="1" customFormat="false" ht="25.5" hidden="false" customHeight="true" outlineLevel="0" collapsed="false">
      <c r="A1" s="33" t="s">
        <v>340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5.75" hidden="false" customHeight="true" outlineLevel="0" collapsed="false">
      <c r="A2" s="34" t="s">
        <v>341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customFormat="false" ht="30" hidden="false" customHeight="true" outlineLevel="0" collapsed="false">
      <c r="A3" s="15" t="s">
        <v>33</v>
      </c>
      <c r="B3" s="15" t="s">
        <v>191</v>
      </c>
      <c r="C3" s="35" t="s">
        <v>192</v>
      </c>
      <c r="D3" s="35" t="s">
        <v>193</v>
      </c>
      <c r="E3" s="35" t="s">
        <v>194</v>
      </c>
      <c r="F3" s="35" t="s">
        <v>195</v>
      </c>
      <c r="G3" s="35" t="s">
        <v>196</v>
      </c>
      <c r="H3" s="35" t="s">
        <v>197</v>
      </c>
      <c r="I3" s="36"/>
      <c r="J3" s="37" t="s">
        <v>193</v>
      </c>
      <c r="K3" s="37" t="s">
        <v>194</v>
      </c>
      <c r="L3" s="37" t="s">
        <v>195</v>
      </c>
      <c r="M3" s="37" t="s">
        <v>196</v>
      </c>
      <c r="N3" s="37" t="s">
        <v>197</v>
      </c>
      <c r="O3" s="37" t="s">
        <v>198</v>
      </c>
      <c r="P3" s="38" t="s">
        <v>199</v>
      </c>
    </row>
    <row r="4" customFormat="false" ht="18" hidden="false" customHeight="true" outlineLevel="0" collapsed="false">
      <c r="A4" s="39"/>
      <c r="B4" s="40" t="s">
        <v>277</v>
      </c>
      <c r="C4" s="41" t="s">
        <v>201</v>
      </c>
      <c r="D4" s="41"/>
      <c r="E4" s="41"/>
      <c r="F4" s="41"/>
      <c r="G4" s="41"/>
      <c r="H4" s="41"/>
      <c r="I4" s="39"/>
      <c r="J4" s="42" t="s">
        <v>202</v>
      </c>
      <c r="K4" s="42"/>
      <c r="L4" s="42"/>
      <c r="M4" s="42"/>
      <c r="N4" s="42"/>
      <c r="O4" s="42"/>
      <c r="P4" s="39"/>
    </row>
    <row r="5" customFormat="false" ht="19.5" hidden="false" customHeight="true" outlineLevel="0" collapsed="false">
      <c r="A5" s="43" t="s">
        <v>342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customFormat="false" ht="15.75" hidden="false" customHeight="true" outlineLevel="0" collapsed="false">
      <c r="A6" s="44" t="s">
        <v>333</v>
      </c>
      <c r="B6" s="45" t="s">
        <v>343</v>
      </c>
      <c r="C6" s="72" t="n">
        <f aca="false">Dunelm_Data!C5/Dunelm_Data!C27</f>
        <v>2.6382162550947</v>
      </c>
      <c r="D6" s="72" t="n">
        <f aca="false">Dunelm_Data!D5/Dunelm_Data!D27</f>
        <v>1.47751396648045</v>
      </c>
      <c r="E6" s="72" t="n">
        <f aca="false">Dunelm_Data!E5/Dunelm_Data!E27</f>
        <v>1.74279379157428</v>
      </c>
      <c r="F6" s="72" t="n">
        <f aca="false">Dunelm_Data!F5/Dunelm_Data!F27</f>
        <v>2.14310882233365</v>
      </c>
      <c r="G6" s="72" t="n">
        <f aca="false">Dunelm_Data!G5/Dunelm_Data!G27</f>
        <v>2.35189437428243</v>
      </c>
      <c r="H6" s="72" t="n">
        <f aca="false">Dunelm_Data!H5/Dunelm_Data!H27</f>
        <v>2.50219941348974</v>
      </c>
      <c r="I6" s="47"/>
      <c r="J6" s="73" t="n">
        <f aca="false">Chemring_Data!C5/Chemring_Data!C30</f>
        <v>0.743442925748061</v>
      </c>
      <c r="K6" s="73" t="n">
        <f aca="false">Chemring_Data!D5/Chemring_Data!D30</f>
        <v>0.739981185324553</v>
      </c>
      <c r="L6" s="73" t="n">
        <f aca="false">Chemring_Data!E5/Chemring_Data!E30</f>
        <v>0.646669891952911</v>
      </c>
      <c r="M6" s="73" t="n">
        <f aca="false">Chemring_Data!F5/Chemring_Data!F30</f>
        <v>0.792421193829645</v>
      </c>
      <c r="N6" s="73" t="n">
        <f aca="false">Chemring_Data!G5/Chemring_Data!G30</f>
        <v>0.705533882386938</v>
      </c>
      <c r="O6" s="73" t="n">
        <f aca="false">Chemring_Data!H5/Chemring_Data!H30</f>
        <v>0.576410612906963</v>
      </c>
      <c r="P6" s="49" t="s">
        <v>344</v>
      </c>
    </row>
    <row r="7" customFormat="false" ht="15.75" hidden="false" customHeight="true" outlineLevel="0" collapsed="false">
      <c r="A7" s="13" t="s">
        <v>345</v>
      </c>
      <c r="B7" s="45" t="s">
        <v>346</v>
      </c>
      <c r="C7" s="68" t="n">
        <f aca="false">Dunelm_Data!C5/Dunelm_Data!C19</f>
        <v>5.24749642346209</v>
      </c>
      <c r="D7" s="68" t="n">
        <f aca="false">Dunelm_Data!D5/Dunelm_Data!D19</f>
        <v>2.17138752052545</v>
      </c>
      <c r="E7" s="68" t="n">
        <f aca="false">Dunelm_Data!E5/Dunelm_Data!E19</f>
        <v>2.96209266238085</v>
      </c>
      <c r="F7" s="68" t="n">
        <f aca="false">Dunelm_Data!F5/Dunelm_Data!F19</f>
        <v>3.58756805807623</v>
      </c>
      <c r="G7" s="68" t="n">
        <f aca="false">Dunelm_Data!G5/Dunelm_Data!G19</f>
        <v>3.96419932268989</v>
      </c>
      <c r="H7" s="68" t="n">
        <f aca="false">Dunelm_Data!H5/Dunelm_Data!H19</f>
        <v>4.17135174773894</v>
      </c>
      <c r="I7" s="47"/>
      <c r="J7" s="68" t="n">
        <f aca="false">Chemring_Data!C5/Chemring_Data!C25</f>
        <v>1.08140784524449</v>
      </c>
      <c r="K7" s="68" t="n">
        <f aca="false">Chemring_Data!D5/Chemring_Data!D25</f>
        <v>1.02582159624413</v>
      </c>
      <c r="L7" s="68" t="n">
        <f aca="false">Chemring_Data!E5/Chemring_Data!E25</f>
        <v>0.913647755753019</v>
      </c>
      <c r="M7" s="68" t="n">
        <f aca="false">Chemring_Data!F5/Chemring_Data!F25</f>
        <v>1.14514174945481</v>
      </c>
      <c r="N7" s="68" t="n">
        <f aca="false">Chemring_Data!G5/Chemring_Data!G25</f>
        <v>1.1562869997632</v>
      </c>
      <c r="O7" s="68" t="n">
        <f aca="false">Chemring_Data!H5/Chemring_Data!H25</f>
        <v>0.936382458121589</v>
      </c>
      <c r="P7" s="49" t="s">
        <v>347</v>
      </c>
    </row>
    <row r="8" customFormat="false" ht="15.75" hidden="false" customHeight="true" outlineLevel="0" collapsed="false">
      <c r="A8" s="9" t="s">
        <v>348</v>
      </c>
      <c r="B8" s="45" t="s">
        <v>349</v>
      </c>
      <c r="C8" s="70" t="n">
        <f aca="false">Dunelm_Data!C5/Dunelm_Data!C21</f>
        <v>6.09302325581395</v>
      </c>
      <c r="D8" s="70" t="n">
        <f aca="false">Dunelm_Data!D5/Dunelm_Data!D21</f>
        <v>6.03135689851767</v>
      </c>
      <c r="E8" s="70" t="n">
        <f aca="false">Dunelm_Data!E5/Dunelm_Data!E21</f>
        <v>8.21771217712177</v>
      </c>
      <c r="F8" s="70" t="n">
        <f aca="false">Dunelm_Data!F5/Dunelm_Data!F21</f>
        <v>9.1042026482441</v>
      </c>
      <c r="G8" s="70" t="n">
        <f aca="false">Dunelm_Data!G5/Dunelm_Data!G21</f>
        <v>9.64567392583873</v>
      </c>
      <c r="H8" s="70" t="n">
        <f aca="false">Dunelm_Data!H5/Dunelm_Data!H21</f>
        <v>9.86416184971098</v>
      </c>
      <c r="I8" s="47"/>
      <c r="J8" s="71" t="n">
        <f aca="false">Chemring_Data!C5/Chemring_Data!C23</f>
        <v>2.07474226804124</v>
      </c>
      <c r="K8" s="71" t="n">
        <f aca="false">Chemring_Data!D5/Chemring_Data!D23</f>
        <v>1.97936587820835</v>
      </c>
      <c r="L8" s="71" t="n">
        <f aca="false">Chemring_Data!E5/Chemring_Data!E23</f>
        <v>1.73367920449633</v>
      </c>
      <c r="M8" s="71" t="n">
        <f aca="false">Chemring_Data!F5/Chemring_Data!F23</f>
        <v>1.95127993393889</v>
      </c>
      <c r="N8" s="71" t="n">
        <f aca="false">Chemring_Data!G5/Chemring_Data!G23</f>
        <v>1.69666435024322</v>
      </c>
      <c r="O8" s="71" t="n">
        <f aca="false">Chemring_Data!H5/Chemring_Data!H23</f>
        <v>1.40259374118974</v>
      </c>
      <c r="P8" s="49" t="s">
        <v>350</v>
      </c>
    </row>
    <row r="9" customFormat="false" ht="6" hidden="false" customHeight="true" outlineLevel="0" collapsed="false"/>
    <row r="10" customFormat="false" ht="19.5" hidden="false" customHeight="true" outlineLevel="0" collapsed="false">
      <c r="A10" s="43" t="s">
        <v>351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</row>
    <row r="11" customFormat="false" ht="15.75" hidden="false" customHeight="true" outlineLevel="0" collapsed="false">
      <c r="A11" s="44" t="s">
        <v>352</v>
      </c>
      <c r="B11" s="45" t="s">
        <v>353</v>
      </c>
      <c r="C11" s="74" t="n">
        <f aca="false">Dunelm_Data!C24/(ABS(Dunelm_Data!C6)/365)</f>
        <v>103.75</v>
      </c>
      <c r="D11" s="74" t="n">
        <f aca="false">Dunelm_Data!D24/(ABS(Dunelm_Data!D6)/365)</f>
        <v>82.0989533777355</v>
      </c>
      <c r="E11" s="74" t="n">
        <f aca="false">Dunelm_Data!E24/(ABS(Dunelm_Data!E6)/365)</f>
        <v>97.2130387764561</v>
      </c>
      <c r="F11" s="74" t="n">
        <f aca="false">Dunelm_Data!F24/(ABS(Dunelm_Data!F6)/365)</f>
        <v>105.433937823834</v>
      </c>
      <c r="G11" s="74" t="n">
        <f aca="false">Dunelm_Data!G24/(ABS(Dunelm_Data!G6)/365)</f>
        <v>94.1618779801932</v>
      </c>
      <c r="H11" s="74" t="n">
        <f aca="false">Dunelm_Data!H24/(ABS(Dunelm_Data!H6)/365)</f>
        <v>98.8763362487852</v>
      </c>
      <c r="I11" s="47"/>
      <c r="J11" s="75" t="n">
        <f aca="false">Chemring_Data!C26/(Chemring_Data!C5/365)</f>
        <v>82.7937888198758</v>
      </c>
      <c r="K11" s="75" t="n">
        <f aca="false">Chemring_Data!D26/(Chemring_Data!D5/365)</f>
        <v>74.8932112890923</v>
      </c>
      <c r="L11" s="75" t="n">
        <f aca="false">Chemring_Data!E26/(Chemring_Data!E5/365)</f>
        <v>90.6583541147132</v>
      </c>
      <c r="M11" s="75" t="n">
        <f aca="false">Chemring_Data!F26/(Chemring_Data!F5/365)</f>
        <v>78.5452814219213</v>
      </c>
      <c r="N11" s="75" t="n">
        <f aca="false">Chemring_Data!G26/(Chemring_Data!G5/365)</f>
        <v>95.0061437640795</v>
      </c>
      <c r="O11" s="75" t="n">
        <f aca="false">Chemring_Data!H26/(Chemring_Data!H5/365)</f>
        <v>105.061306532663</v>
      </c>
      <c r="P11" s="49" t="s">
        <v>354</v>
      </c>
    </row>
    <row r="12" customFormat="false" ht="15.75" hidden="false" customHeight="true" outlineLevel="0" collapsed="false">
      <c r="A12" s="13" t="s">
        <v>355</v>
      </c>
      <c r="B12" s="45" t="s">
        <v>356</v>
      </c>
      <c r="C12" s="68" t="n">
        <f aca="false">ABS(Dunelm_Data!C6)/Dunelm_Data!C24</f>
        <v>3.51807228915663</v>
      </c>
      <c r="D12" s="68" t="n">
        <f aca="false">ABS(Dunelm_Data!D6)/Dunelm_Data!D24</f>
        <v>4.44585448392555</v>
      </c>
      <c r="E12" s="68" t="n">
        <f aca="false">ABS(Dunelm_Data!E6)/Dunelm_Data!E24</f>
        <v>3.7546403712297</v>
      </c>
      <c r="F12" s="68" t="n">
        <f aca="false">ABS(Dunelm_Data!F6)/Dunelm_Data!F24</f>
        <v>3.46188340807175</v>
      </c>
      <c r="G12" s="68" t="n">
        <f aca="false">ABS(Dunelm_Data!G6)/Dunelm_Data!G24</f>
        <v>3.87630331753555</v>
      </c>
      <c r="H12" s="68" t="n">
        <f aca="false">ABS(Dunelm_Data!H6)/Dunelm_Data!H24</f>
        <v>3.6914798206278</v>
      </c>
      <c r="I12" s="47"/>
      <c r="J12" s="68" t="n">
        <f aca="false">Chemring_Data!C5/Chemring_Data!C26</f>
        <v>4.40854326396495</v>
      </c>
      <c r="K12" s="68" t="n">
        <f aca="false">Chemring_Data!D5/Chemring_Data!D26</f>
        <v>4.87360594795539</v>
      </c>
      <c r="L12" s="68" t="n">
        <f aca="false">Chemring_Data!E5/Chemring_Data!E26</f>
        <v>4.02610441767068</v>
      </c>
      <c r="M12" s="68" t="n">
        <f aca="false">Chemring_Data!F5/Chemring_Data!F26</f>
        <v>4.64700098328417</v>
      </c>
      <c r="N12" s="68" t="n">
        <f aca="false">Chemring_Data!G5/Chemring_Data!G26</f>
        <v>3.84185680566483</v>
      </c>
      <c r="O12" s="68" t="n">
        <f aca="false">Chemring_Data!H5/Chemring_Data!H26</f>
        <v>3.47416201117319</v>
      </c>
      <c r="P12" s="49" t="s">
        <v>357</v>
      </c>
    </row>
    <row r="13" customFormat="false" ht="15.75" hidden="false" customHeight="true" outlineLevel="0" collapsed="false">
      <c r="A13" s="9" t="s">
        <v>358</v>
      </c>
      <c r="B13" s="45" t="s">
        <v>359</v>
      </c>
      <c r="C13" s="53" t="n">
        <f aca="false">Dunelm_Data!C24/Dunelm_Data!C5</f>
        <v>0.143311523082515</v>
      </c>
      <c r="D13" s="53" t="n">
        <f aca="false">Dunelm_Data!D24/Dunelm_Data!D5</f>
        <v>0.111730787409018</v>
      </c>
      <c r="E13" s="53" t="n">
        <f aca="false">Dunelm_Data!E24/Dunelm_Data!E5</f>
        <v>0.129022601406975</v>
      </c>
      <c r="F13" s="53" t="n">
        <f aca="false">Dunelm_Data!F24/Dunelm_Data!F5</f>
        <v>0.141014291134438</v>
      </c>
      <c r="G13" s="53" t="n">
        <f aca="false">Dunelm_Data!G24/Dunelm_Data!G5</f>
        <v>0.128752745911643</v>
      </c>
      <c r="H13" s="53" t="n">
        <f aca="false">Dunelm_Data!H24/Dunelm_Data!H5</f>
        <v>0.130676823908585</v>
      </c>
      <c r="I13" s="47"/>
      <c r="J13" s="55" t="n">
        <f aca="false">Chemring_Data!C26/Chemring_Data!C5</f>
        <v>0.226832298136646</v>
      </c>
      <c r="K13" s="55" t="n">
        <f aca="false">Chemring_Data!D26/Chemring_Data!D5</f>
        <v>0.205186880244089</v>
      </c>
      <c r="L13" s="55" t="n">
        <f aca="false">Chemring_Data!E26/Chemring_Data!E5</f>
        <v>0.248379052369077</v>
      </c>
      <c r="M13" s="55" t="n">
        <f aca="false">Chemring_Data!F26/Chemring_Data!F5</f>
        <v>0.21519255184088</v>
      </c>
      <c r="N13" s="55" t="n">
        <f aca="false">Chemring_Data!G26/Chemring_Data!G5</f>
        <v>0.260290804833094</v>
      </c>
      <c r="O13" s="55" t="n">
        <f aca="false">Chemring_Data!H26/Chemring_Data!H5</f>
        <v>0.2878391959799</v>
      </c>
      <c r="P13" s="49" t="s">
        <v>360</v>
      </c>
    </row>
    <row r="14" customFormat="false" ht="6" hidden="false" customHeight="true" outlineLevel="0" collapsed="false"/>
    <row r="15" customFormat="false" ht="19.5" hidden="false" customHeight="true" outlineLevel="0" collapsed="false">
      <c r="A15" s="43" t="s">
        <v>361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</row>
    <row r="16" customFormat="false" ht="15.75" hidden="false" customHeight="true" outlineLevel="0" collapsed="false">
      <c r="A16" s="44" t="s">
        <v>362</v>
      </c>
      <c r="B16" s="45" t="s">
        <v>363</v>
      </c>
      <c r="C16" s="74" t="n">
        <f aca="false">Dunelm_Data!C25/(Dunelm_Data!C5/365)</f>
        <v>8.491457651763</v>
      </c>
      <c r="D16" s="74" t="n">
        <f aca="false">Dunelm_Data!D25/(Dunelm_Data!D5/365)</f>
        <v>5.38236128178467</v>
      </c>
      <c r="E16" s="74" t="n">
        <f aca="false">Dunelm_Data!E25/(Dunelm_Data!E5/365)</f>
        <v>3.22331986229606</v>
      </c>
      <c r="F16" s="74" t="n">
        <f aca="false">Dunelm_Data!F25/(Dunelm_Data!F5/365)</f>
        <v>5.28550651321614</v>
      </c>
      <c r="G16" s="74" t="n">
        <f aca="false">Dunelm_Data!G25/(Dunelm_Data!G5/365)</f>
        <v>5.41219184769343</v>
      </c>
      <c r="H16" s="74" t="n">
        <f aca="false">Dunelm_Data!H25/(Dunelm_Data!H5/365)</f>
        <v>5.60386756519191</v>
      </c>
      <c r="I16" s="47"/>
      <c r="J16" s="75" t="n">
        <f aca="false">Chemring_Data!C27/(Chemring_Data!C5/365)</f>
        <v>56.9490683229814</v>
      </c>
      <c r="K16" s="75" t="n">
        <f aca="false">Chemring_Data!D27/(Chemring_Data!D5/365)</f>
        <v>56.2395118230359</v>
      </c>
      <c r="L16" s="75" t="n">
        <f aca="false">Chemring_Data!E27/(Chemring_Data!E5/365)</f>
        <v>55.6147132169576</v>
      </c>
      <c r="M16" s="75" t="n">
        <f aca="false">Chemring_Data!F27/(Chemring_Data!F5/365)</f>
        <v>57.7697841726619</v>
      </c>
      <c r="N16" s="75" t="n">
        <f aca="false">Chemring_Data!G27/(Chemring_Data!G5/365)</f>
        <v>68.0217079664141</v>
      </c>
      <c r="O16" s="75" t="n">
        <f aca="false">Chemring_Data!H27/(Chemring_Data!H5/365)</f>
        <v>81.070351758794</v>
      </c>
      <c r="P16" s="49" t="s">
        <v>364</v>
      </c>
    </row>
    <row r="17" customFormat="false" ht="15.75" hidden="false" customHeight="true" outlineLevel="0" collapsed="false">
      <c r="A17" s="65" t="s">
        <v>365</v>
      </c>
      <c r="B17" s="45" t="s">
        <v>366</v>
      </c>
      <c r="C17" s="76" t="n">
        <f aca="false">ABS(Dunelm_Data!C29)/(ABS(Dunelm_Data!C6)/365)</f>
        <v>89.671052631579</v>
      </c>
      <c r="D17" s="76" t="n">
        <f aca="false">ABS(Dunelm_Data!D29)/(ABS(Dunelm_Data!D6)/365)</f>
        <v>123.078972407231</v>
      </c>
      <c r="E17" s="76" t="n">
        <f aca="false">ABS(Dunelm_Data!E29)/(ABS(Dunelm_Data!E6)/365)</f>
        <v>102.513517688861</v>
      </c>
      <c r="F17" s="76" t="n">
        <f aca="false">ABS(Dunelm_Data!F29)/(ABS(Dunelm_Data!F6)/365)</f>
        <v>105.528497409326</v>
      </c>
      <c r="G17" s="76" t="n">
        <f aca="false">ABS(Dunelm_Data!G29)/(ABS(Dunelm_Data!G6)/365)</f>
        <v>92.8677099889962</v>
      </c>
      <c r="H17" s="76" t="n">
        <f aca="false">ABS(Dunelm_Data!H29)/(ABS(Dunelm_Data!H6)/365)</f>
        <v>90.895286686103</v>
      </c>
      <c r="I17" s="47"/>
      <c r="J17" s="76" t="n">
        <f aca="false">ABS(Chemring_Data!C32)/(Chemring_Data!C5/365)</f>
        <v>88.144099378882</v>
      </c>
      <c r="K17" s="76" t="n">
        <f aca="false">ABS(Chemring_Data!D32)/(Chemring_Data!D5/365)</f>
        <v>79.5334350368675</v>
      </c>
      <c r="L17" s="76" t="n">
        <f aca="false">ABS(Chemring_Data!E32)/(Chemring_Data!E5/365)</f>
        <v>89.3840399002494</v>
      </c>
      <c r="M17" s="76" t="n">
        <f aca="false">ABS(Chemring_Data!F32)/(Chemring_Data!F5/365)</f>
        <v>95.7680914092256</v>
      </c>
      <c r="N17" s="76" t="n">
        <f aca="false">ABS(Chemring_Data!G32)/(Chemring_Data!G5/365)</f>
        <v>63.6115093180422</v>
      </c>
      <c r="O17" s="76" t="n">
        <f aca="false">ABS(Chemring_Data!H32)/(Chemring_Data!H5/365)</f>
        <v>72.9266331658292</v>
      </c>
      <c r="P17" s="49" t="s">
        <v>367</v>
      </c>
    </row>
    <row r="18" customFormat="false" ht="15.75" hidden="false" customHeight="true" outlineLevel="0" collapsed="false">
      <c r="A18" s="9" t="s">
        <v>368</v>
      </c>
      <c r="B18" s="45" t="s">
        <v>369</v>
      </c>
      <c r="C18" s="77" t="n">
        <f aca="false">Dunelm_Data!C24+Dunelm_Data!C25-ABS(Dunelm_Data!C29)</f>
        <v>47</v>
      </c>
      <c r="D18" s="77" t="n">
        <f aca="false">Dunelm_Data!D24+Dunelm_Data!D25-ABS(Dunelm_Data!D29)</f>
        <v>-43.4</v>
      </c>
      <c r="E18" s="77" t="n">
        <f aca="false">Dunelm_Data!E24+Dunelm_Data!E25-ABS(Dunelm_Data!E29)</f>
        <v>2.40000000000001</v>
      </c>
      <c r="F18" s="77" t="n">
        <f aca="false">Dunelm_Data!F24+Dunelm_Data!F25-ABS(Dunelm_Data!F29)</f>
        <v>22.7</v>
      </c>
      <c r="G18" s="77" t="n">
        <f aca="false">Dunelm_Data!G24+Dunelm_Data!G25-ABS(Dunelm_Data!G29)</f>
        <v>27.2</v>
      </c>
      <c r="H18" s="77" t="n">
        <f aca="false">Dunelm_Data!H24+Dunelm_Data!H25-ABS(Dunelm_Data!H29)</f>
        <v>44.2</v>
      </c>
      <c r="I18" s="47"/>
      <c r="J18" s="78" t="n">
        <f aca="false">Chemring_Data!C26+Chemring_Data!C27-ABS(Chemring_Data!C32)</f>
        <v>56.9</v>
      </c>
      <c r="K18" s="78" t="n">
        <f aca="false">Chemring_Data!D26+Chemring_Data!D27-ABS(Chemring_Data!D32)</f>
        <v>55.6</v>
      </c>
      <c r="L18" s="78" t="n">
        <f aca="false">Chemring_Data!E26+Chemring_Data!E27-ABS(Chemring_Data!E32)</f>
        <v>62.5</v>
      </c>
      <c r="M18" s="78" t="n">
        <f aca="false">Chemring_Data!F26+Chemring_Data!F27-ABS(Chemring_Data!F32)</f>
        <v>52.5</v>
      </c>
      <c r="N18" s="78" t="n">
        <f aca="false">Chemring_Data!G26+Chemring_Data!G27-ABS(Chemring_Data!G32)</f>
        <v>133</v>
      </c>
      <c r="O18" s="78" t="n">
        <f aca="false">Chemring_Data!H26+Chemring_Data!H27-ABS(Chemring_Data!H32)</f>
        <v>154.3</v>
      </c>
      <c r="P18" s="49" t="s">
        <v>370</v>
      </c>
    </row>
    <row r="19" customFormat="false" ht="15.75" hidden="false" customHeight="true" outlineLevel="0" collapsed="false">
      <c r="A19" s="13" t="s">
        <v>371</v>
      </c>
      <c r="B19" s="45" t="s">
        <v>372</v>
      </c>
      <c r="C19" s="79" t="n">
        <f aca="false">(Dunelm_Data!C24+Dunelm_Data!C25-ABS(Dunelm_Data!C29))/(Dunelm_Data!C5/365)</f>
        <v>15.5897855325336</v>
      </c>
      <c r="D19" s="79" t="n">
        <f aca="false">(Dunelm_Data!D24+Dunelm_Data!D25-ABS(Dunelm_Data!D29))/(Dunelm_Data!D5/365)</f>
        <v>-14.9740051044522</v>
      </c>
      <c r="E19" s="79" t="n">
        <f aca="false">(Dunelm_Data!E24+Dunelm_Data!E25-ABS(Dunelm_Data!E29))/(Dunelm_Data!E5/365)</f>
        <v>0.655590480466998</v>
      </c>
      <c r="F19" s="79" t="n">
        <f aca="false">(Dunelm_Data!F24+Dunelm_Data!F25-ABS(Dunelm_Data!F29))/(Dunelm_Data!F5/365)</f>
        <v>5.23934488427976</v>
      </c>
      <c r="G19" s="79" t="n">
        <f aca="false">(Dunelm_Data!G24+Dunelm_Data!G25-ABS(Dunelm_Data!G29))/(Dunelm_Data!G5/365)</f>
        <v>6.05809128630706</v>
      </c>
      <c r="H19" s="79" t="n">
        <f aca="false">(Dunelm_Data!H24+Dunelm_Data!H25-ABS(Dunelm_Data!H29))/(Dunelm_Data!H5/365)</f>
        <v>9.45385291532376</v>
      </c>
      <c r="I19" s="47"/>
      <c r="J19" s="79" t="n">
        <f aca="false">(Chemring_Data!C26+Chemring_Data!C27-ABS(Chemring_Data!C32))/(Chemring_Data!C5/365)</f>
        <v>51.5987577639752</v>
      </c>
      <c r="K19" s="79" t="n">
        <f aca="false">(Chemring_Data!D26+Chemring_Data!D27-ABS(Chemring_Data!D32))/(Chemring_Data!D5/365)</f>
        <v>51.5992880752606</v>
      </c>
      <c r="L19" s="79" t="n">
        <f aca="false">(Chemring_Data!E26+Chemring_Data!E27-ABS(Chemring_Data!E32))/(Chemring_Data!E5/365)</f>
        <v>56.8890274314214</v>
      </c>
      <c r="M19" s="79" t="n">
        <f aca="false">(Chemring_Data!F26+Chemring_Data!F27-ABS(Chemring_Data!F32))/(Chemring_Data!F5/365)</f>
        <v>40.5469741853576</v>
      </c>
      <c r="N19" s="79" t="n">
        <f aca="false">(Chemring_Data!G26+Chemring_Data!G27-ABS(Chemring_Data!G32))/(Chemring_Data!G5/365)</f>
        <v>99.4163424124514</v>
      </c>
      <c r="O19" s="79" t="n">
        <f aca="false">(Chemring_Data!H26+Chemring_Data!H27-ABS(Chemring_Data!H32))/(Chemring_Data!H5/365)</f>
        <v>113.205025125628</v>
      </c>
      <c r="P19" s="49" t="s">
        <v>373</v>
      </c>
    </row>
    <row r="20" customFormat="false" ht="6" hidden="false" customHeight="true" outlineLevel="0" collapsed="false"/>
    <row r="21" customFormat="false" ht="19.5" hidden="false" customHeight="true" outlineLevel="0" collapsed="false">
      <c r="A21" s="43" t="s">
        <v>374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customFormat="false" ht="15.75" hidden="false" customHeight="true" outlineLevel="0" collapsed="false">
      <c r="A22" s="44" t="s">
        <v>375</v>
      </c>
      <c r="B22" s="45" t="s">
        <v>376</v>
      </c>
      <c r="C22" s="74" t="n">
        <f aca="false">(Dunelm_Data!C25/(Dunelm_Data!C5/365))+(Dunelm_Data!C24/(ABS(Dunelm_Data!C6)/365))-ABS(Dunelm_Data!C29)/(ABS(Dunelm_Data!C6)/365)</f>
        <v>22.570405020184</v>
      </c>
      <c r="D22" s="74" t="n">
        <f aca="false">(Dunelm_Data!D25/(Dunelm_Data!D5/365))+(Dunelm_Data!D24/(ABS(Dunelm_Data!D6)/365))-ABS(Dunelm_Data!D29)/(ABS(Dunelm_Data!D6)/365)</f>
        <v>-35.597657747711</v>
      </c>
      <c r="E22" s="74" t="n">
        <f aca="false">(Dunelm_Data!E25/(Dunelm_Data!E5/365))+(Dunelm_Data!E24/(ABS(Dunelm_Data!E6)/365))-ABS(Dunelm_Data!E29)/(ABS(Dunelm_Data!E6)/365)</f>
        <v>-2.07715905010932</v>
      </c>
      <c r="F22" s="74" t="n">
        <f aca="false">(Dunelm_Data!F25/(Dunelm_Data!F5/365))+(Dunelm_Data!F24/(ABS(Dunelm_Data!F6)/365))-ABS(Dunelm_Data!F29)/(ABS(Dunelm_Data!F6)/365)</f>
        <v>5.19094692772391</v>
      </c>
      <c r="G22" s="74" t="n">
        <f aca="false">(Dunelm_Data!G25/(Dunelm_Data!G5/365))+(Dunelm_Data!G24/(ABS(Dunelm_Data!G6)/365))-ABS(Dunelm_Data!G29)/(ABS(Dunelm_Data!G6)/365)</f>
        <v>6.70635983889041</v>
      </c>
      <c r="H22" s="74" t="n">
        <f aca="false">(Dunelm_Data!H25/(Dunelm_Data!H5/365))+(Dunelm_Data!H24/(ABS(Dunelm_Data!H6)/365))-ABS(Dunelm_Data!H29)/(ABS(Dunelm_Data!H6)/365)</f>
        <v>13.5849171278741</v>
      </c>
      <c r="I22" s="47"/>
      <c r="J22" s="75" t="n">
        <f aca="false">(Chemring_Data!C27/(Chemring_Data!C5/365))+(Chemring_Data!C26/(Chemring_Data!C5/365))-ABS(Chemring_Data!C32)/(Chemring_Data!C5/365)</f>
        <v>51.5987577639751</v>
      </c>
      <c r="K22" s="75" t="n">
        <f aca="false">(Chemring_Data!D27/(Chemring_Data!D5/365))+(Chemring_Data!D26/(Chemring_Data!D5/365))-ABS(Chemring_Data!D32)/(Chemring_Data!D5/365)</f>
        <v>51.5992880752606</v>
      </c>
      <c r="L22" s="75" t="n">
        <f aca="false">(Chemring_Data!E27/(Chemring_Data!E5/365))+(Chemring_Data!E26/(Chemring_Data!E5/365))-ABS(Chemring_Data!E32)/(Chemring_Data!E5/365)</f>
        <v>56.8890274314214</v>
      </c>
      <c r="M22" s="75" t="n">
        <f aca="false">(Chemring_Data!F27/(Chemring_Data!F5/365))+(Chemring_Data!F26/(Chemring_Data!F5/365))-ABS(Chemring_Data!F32)/(Chemring_Data!F5/365)</f>
        <v>40.5469741853576</v>
      </c>
      <c r="N22" s="75" t="n">
        <f aca="false">(Chemring_Data!G27/(Chemring_Data!G5/365))+(Chemring_Data!G26/(Chemring_Data!G5/365))-ABS(Chemring_Data!G32)/(Chemring_Data!G5/365)</f>
        <v>99.4163424124513</v>
      </c>
      <c r="O22" s="75" t="n">
        <f aca="false">(Chemring_Data!H27/(Chemring_Data!H5/365))+(Chemring_Data!H26/(Chemring_Data!H5/365))-ABS(Chemring_Data!H32)/(Chemring_Data!H5/365)</f>
        <v>113.205025125628</v>
      </c>
      <c r="P22" s="49" t="s">
        <v>377</v>
      </c>
    </row>
    <row r="23" customFormat="false" ht="15.75" hidden="false" customHeight="true" outlineLevel="0" collapsed="false">
      <c r="A23" s="13" t="s">
        <v>378</v>
      </c>
      <c r="B23" s="45" t="s">
        <v>379</v>
      </c>
      <c r="C23" s="68" t="n">
        <f aca="false">Dunelm_Data!C5/Dunelm_Data!C21</f>
        <v>6.09302325581395</v>
      </c>
      <c r="D23" s="68" t="n">
        <f aca="false">Dunelm_Data!D5/Dunelm_Data!D21</f>
        <v>6.03135689851767</v>
      </c>
      <c r="E23" s="68" t="n">
        <f aca="false">Dunelm_Data!E5/Dunelm_Data!E21</f>
        <v>8.21771217712177</v>
      </c>
      <c r="F23" s="68" t="n">
        <f aca="false">Dunelm_Data!F5/Dunelm_Data!F21</f>
        <v>9.1042026482441</v>
      </c>
      <c r="G23" s="68" t="n">
        <f aca="false">Dunelm_Data!G5/Dunelm_Data!G21</f>
        <v>9.64567392583873</v>
      </c>
      <c r="H23" s="68" t="n">
        <f aca="false">Dunelm_Data!H5/Dunelm_Data!H21</f>
        <v>9.86416184971098</v>
      </c>
      <c r="I23" s="47"/>
      <c r="J23" s="68" t="n">
        <f aca="false">Chemring_Data!C5/Chemring_Data!C23</f>
        <v>2.07474226804124</v>
      </c>
      <c r="K23" s="68" t="n">
        <f aca="false">Chemring_Data!D5/Chemring_Data!D23</f>
        <v>1.97936587820835</v>
      </c>
      <c r="L23" s="68" t="n">
        <f aca="false">Chemring_Data!E5/Chemring_Data!E23</f>
        <v>1.73367920449633</v>
      </c>
      <c r="M23" s="68" t="n">
        <f aca="false">Chemring_Data!F5/Chemring_Data!F23</f>
        <v>1.95127993393889</v>
      </c>
      <c r="N23" s="68" t="n">
        <f aca="false">Chemring_Data!G5/Chemring_Data!G23</f>
        <v>1.69666435024322</v>
      </c>
      <c r="O23" s="68" t="n">
        <f aca="false">Chemring_Data!H5/Chemring_Data!H23</f>
        <v>1.40259374118974</v>
      </c>
      <c r="P23" s="49" t="s">
        <v>380</v>
      </c>
    </row>
    <row r="24" customFormat="false" ht="6" hidden="false" customHeight="true" outlineLevel="0" collapsed="false"/>
    <row r="25" customFormat="false" ht="13.5" hidden="false" customHeight="true" outlineLevel="0" collapsed="false">
      <c r="A25" s="60" t="s">
        <v>381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</row>
  </sheetData>
  <mergeCells count="9">
    <mergeCell ref="A1:P1"/>
    <mergeCell ref="A2:P2"/>
    <mergeCell ref="C4:H4"/>
    <mergeCell ref="J4:O4"/>
    <mergeCell ref="A5:P5"/>
    <mergeCell ref="A10:P10"/>
    <mergeCell ref="A15:P15"/>
    <mergeCell ref="A21:P21"/>
    <mergeCell ref="A25:P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60"/>
    <col collapsed="false" customWidth="true" hidden="false" outlineLevel="0" max="8" min="3" style="1" width="11"/>
    <col collapsed="false" customWidth="true" hidden="false" outlineLevel="0" max="9" min="9" style="1" width="3"/>
    <col collapsed="false" customWidth="true" hidden="false" outlineLevel="0" max="15" min="10" style="1" width="11"/>
    <col collapsed="false" customWidth="true" hidden="false" outlineLevel="0" max="16" min="16" style="1" width="38"/>
  </cols>
  <sheetData>
    <row r="1" customFormat="false" ht="25.5" hidden="false" customHeight="true" outlineLevel="0" collapsed="false">
      <c r="A1" s="33" t="s">
        <v>382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5.75" hidden="false" customHeight="true" outlineLevel="0" collapsed="false">
      <c r="A2" s="34" t="s">
        <v>383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customFormat="false" ht="30" hidden="false" customHeight="true" outlineLevel="0" collapsed="false">
      <c r="A3" s="15" t="s">
        <v>33</v>
      </c>
      <c r="B3" s="15" t="s">
        <v>191</v>
      </c>
      <c r="C3" s="35" t="s">
        <v>192</v>
      </c>
      <c r="D3" s="35" t="s">
        <v>193</v>
      </c>
      <c r="E3" s="35" t="s">
        <v>194</v>
      </c>
      <c r="F3" s="35" t="s">
        <v>195</v>
      </c>
      <c r="G3" s="35" t="s">
        <v>196</v>
      </c>
      <c r="H3" s="35" t="s">
        <v>197</v>
      </c>
      <c r="I3" s="36"/>
      <c r="J3" s="37" t="s">
        <v>193</v>
      </c>
      <c r="K3" s="37" t="s">
        <v>194</v>
      </c>
      <c r="L3" s="37" t="s">
        <v>195</v>
      </c>
      <c r="M3" s="37" t="s">
        <v>196</v>
      </c>
      <c r="N3" s="37" t="s">
        <v>197</v>
      </c>
      <c r="O3" s="37" t="s">
        <v>198</v>
      </c>
      <c r="P3" s="38" t="s">
        <v>199</v>
      </c>
    </row>
    <row r="4" customFormat="false" ht="18" hidden="false" customHeight="true" outlineLevel="0" collapsed="false">
      <c r="A4" s="39"/>
      <c r="B4" s="40" t="s">
        <v>277</v>
      </c>
      <c r="C4" s="41" t="s">
        <v>201</v>
      </c>
      <c r="D4" s="41"/>
      <c r="E4" s="41"/>
      <c r="F4" s="41"/>
      <c r="G4" s="41"/>
      <c r="H4" s="41"/>
      <c r="I4" s="39"/>
      <c r="J4" s="42" t="s">
        <v>202</v>
      </c>
      <c r="K4" s="42"/>
      <c r="L4" s="42"/>
      <c r="M4" s="42"/>
      <c r="N4" s="42"/>
      <c r="O4" s="42"/>
      <c r="P4" s="39"/>
    </row>
    <row r="5" customFormat="false" ht="19.5" hidden="false" customHeight="true" outlineLevel="0" collapsed="false">
      <c r="A5" s="43" t="s">
        <v>384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customFormat="false" ht="15.75" hidden="false" customHeight="true" outlineLevel="0" collapsed="false">
      <c r="A6" s="44" t="s">
        <v>385</v>
      </c>
      <c r="B6" s="45" t="s">
        <v>386</v>
      </c>
      <c r="C6" s="72" t="n">
        <f aca="false">Dunelm_Data!C23/ABS(Dunelm_Data!C28)</f>
        <v>1.3845126835781</v>
      </c>
      <c r="D6" s="72" t="n">
        <f aca="false">Dunelm_Data!D23/ABS(Dunelm_Data!D28)</f>
        <v>1.00438981562774</v>
      </c>
      <c r="E6" s="72" t="n">
        <f aca="false">Dunelm_Data!E23/ABS(Dunelm_Data!E28)</f>
        <v>1.33785502331496</v>
      </c>
      <c r="F6" s="72" t="n">
        <f aca="false">Dunelm_Data!F23/ABS(Dunelm_Data!F28)</f>
        <v>1.07644927536232</v>
      </c>
      <c r="G6" s="72" t="n">
        <f aca="false">Dunelm_Data!G23/ABS(Dunelm_Data!G28)</f>
        <v>1.05118694362018</v>
      </c>
      <c r="H6" s="72" t="n">
        <f aca="false">Dunelm_Data!H23/ABS(Dunelm_Data!H28)</f>
        <v>1.03567362428843</v>
      </c>
      <c r="I6" s="47"/>
      <c r="J6" s="73" t="n">
        <f aca="false">Chemring_Data!C29/ABS(Chemring_Data!C33)</f>
        <v>1.5134168157424</v>
      </c>
      <c r="K6" s="73" t="n">
        <f aca="false">Chemring_Data!D29/ABS(Chemring_Data!D33)</f>
        <v>1.44487804878049</v>
      </c>
      <c r="L6" s="73" t="n">
        <f aca="false">Chemring_Data!E29/ABS(Chemring_Data!E33)</f>
        <v>1.59366754617414</v>
      </c>
      <c r="M6" s="73" t="n">
        <f aca="false">Chemring_Data!F29/ABS(Chemring_Data!F33)</f>
        <v>1.29275158339198</v>
      </c>
      <c r="N6" s="73" t="n">
        <f aca="false">Chemring_Data!G29/ABS(Chemring_Data!G33)</f>
        <v>1.55020551967117</v>
      </c>
      <c r="O6" s="73" t="n">
        <f aca="false">Chemring_Data!H29/ABS(Chemring_Data!H33)</f>
        <v>1.59632571996028</v>
      </c>
      <c r="P6" s="49" t="s">
        <v>387</v>
      </c>
    </row>
    <row r="7" customFormat="false" ht="15.75" hidden="false" customHeight="true" outlineLevel="0" collapsed="false">
      <c r="A7" s="65" t="s">
        <v>388</v>
      </c>
      <c r="B7" s="45" t="s">
        <v>389</v>
      </c>
      <c r="C7" s="80" t="n">
        <f aca="false">(Dunelm_Data!C23-Dunelm_Data!C24)/ABS(Dunelm_Data!C28)</f>
        <v>0.33177570093458</v>
      </c>
      <c r="D7" s="80" t="n">
        <f aca="false">(Dunelm_Data!D23-Dunelm_Data!D24)/ABS(Dunelm_Data!D28)</f>
        <v>0.485513608428446</v>
      </c>
      <c r="E7" s="80" t="n">
        <f aca="false">(Dunelm_Data!E23-Dunelm_Data!E24)/ABS(Dunelm_Data!E28)</f>
        <v>0.607036880033913</v>
      </c>
      <c r="F7" s="80" t="n">
        <f aca="false">(Dunelm_Data!F23-Dunelm_Data!F24)/ABS(Dunelm_Data!F28)</f>
        <v>0.268478260869565</v>
      </c>
      <c r="G7" s="80" t="n">
        <f aca="false">(Dunelm_Data!G23-Dunelm_Data!G24)/ABS(Dunelm_Data!G28)</f>
        <v>0.268545994065282</v>
      </c>
      <c r="H7" s="80" t="n">
        <f aca="false">(Dunelm_Data!H23-Dunelm_Data!H24)/ABS(Dunelm_Data!H28)</f>
        <v>0.189373814041746</v>
      </c>
      <c r="I7" s="47"/>
      <c r="J7" s="80" t="n">
        <f aca="false">(Chemring_Data!C29-Chemring_Data!C26)/ABS(Chemring_Data!C33)</f>
        <v>0.696779964221825</v>
      </c>
      <c r="K7" s="80" t="n">
        <f aca="false">(Chemring_Data!D29-Chemring_Data!D26)/ABS(Chemring_Data!D33)</f>
        <v>0.657560975609756</v>
      </c>
      <c r="L7" s="80" t="n">
        <f aca="false">(Chemring_Data!E29-Chemring_Data!E26)/ABS(Chemring_Data!E33)</f>
        <v>0.717678100263852</v>
      </c>
      <c r="M7" s="80" t="n">
        <f aca="false">(Chemring_Data!F29-Chemring_Data!F26)/ABS(Chemring_Data!F33)</f>
        <v>0.577058409570725</v>
      </c>
      <c r="N7" s="80" t="n">
        <f aca="false">(Chemring_Data!G29-Chemring_Data!G26)/ABS(Chemring_Data!G33)</f>
        <v>0.803875513799178</v>
      </c>
      <c r="O7" s="80" t="n">
        <f aca="false">(Chemring_Data!H29-Chemring_Data!H26)/ABS(Chemring_Data!H33)</f>
        <v>0.885302879841112</v>
      </c>
      <c r="P7" s="49" t="s">
        <v>390</v>
      </c>
    </row>
    <row r="8" customFormat="false" ht="15.75" hidden="false" customHeight="true" outlineLevel="0" collapsed="false">
      <c r="A8" s="9" t="s">
        <v>391</v>
      </c>
      <c r="B8" s="45" t="s">
        <v>392</v>
      </c>
      <c r="C8" s="70" t="n">
        <f aca="false">Dunelm_Data!C26/ABS(Dunelm_Data!C28)</f>
        <v>0.126835781041389</v>
      </c>
      <c r="D8" s="70" t="n">
        <f aca="false">Dunelm_Data!D26/ABS(Dunelm_Data!D28)</f>
        <v>0.395083406496927</v>
      </c>
      <c r="E8" s="70" t="n">
        <f aca="false">Dunelm_Data!E26/ABS(Dunelm_Data!E28)</f>
        <v>0.545146248410343</v>
      </c>
      <c r="F8" s="70" t="n">
        <f aca="false">Dunelm_Data!F26/ABS(Dunelm_Data!F28)</f>
        <v>0.109420289855072</v>
      </c>
      <c r="G8" s="70" t="n">
        <f aca="false">Dunelm_Data!G26/ABS(Dunelm_Data!G28)</f>
        <v>0.17173590504451</v>
      </c>
      <c r="H8" s="70" t="n">
        <f aca="false">Dunelm_Data!H26/ABS(Dunelm_Data!H28)</f>
        <v>0.0888045540796964</v>
      </c>
      <c r="I8" s="47"/>
      <c r="J8" s="71" t="n">
        <f aca="false">Chemring_Data!C28/ABS(Chemring_Data!C33)</f>
        <v>0.131484794275492</v>
      </c>
      <c r="K8" s="71" t="n">
        <f aca="false">Chemring_Data!D28/ABS(Chemring_Data!D33)</f>
        <v>0.0565853658536585</v>
      </c>
      <c r="L8" s="71" t="n">
        <f aca="false">Chemring_Data!E28/ABS(Chemring_Data!E33)</f>
        <v>0.174142480211082</v>
      </c>
      <c r="M8" s="71" t="n">
        <f aca="false">Chemring_Data!F28/ABS(Chemring_Data!F33)</f>
        <v>0.0450387051372273</v>
      </c>
      <c r="N8" s="71" t="n">
        <f aca="false">Chemring_Data!G28/ABS(Chemring_Data!G33)</f>
        <v>0.264239577216676</v>
      </c>
      <c r="O8" s="71" t="n">
        <f aca="false">Chemring_Data!H28/ABS(Chemring_Data!H33)</f>
        <v>0.324230387288977</v>
      </c>
      <c r="P8" s="49" t="s">
        <v>393</v>
      </c>
    </row>
    <row r="9" customFormat="false" ht="6" hidden="false" customHeight="true" outlineLevel="0" collapsed="false"/>
    <row r="10" customFormat="false" ht="19.5" hidden="false" customHeight="true" outlineLevel="0" collapsed="false">
      <c r="A10" s="43" t="s">
        <v>394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</row>
    <row r="11" customFormat="false" ht="15.75" hidden="false" customHeight="true" outlineLevel="0" collapsed="false">
      <c r="A11" s="44" t="s">
        <v>395</v>
      </c>
      <c r="B11" s="45" t="s">
        <v>396</v>
      </c>
      <c r="C11" s="46" t="n">
        <f aca="false">Dunelm_Data!C23-ABS(Dunelm_Data!C28)</f>
        <v>57.6</v>
      </c>
      <c r="D11" s="46" t="n">
        <f aca="false">Dunelm_Data!D23-ABS(Dunelm_Data!D28)</f>
        <v>1</v>
      </c>
      <c r="E11" s="46" t="n">
        <f aca="false">Dunelm_Data!E23-ABS(Dunelm_Data!E28)</f>
        <v>79.7</v>
      </c>
      <c r="F11" s="46" t="n">
        <f aca="false">Dunelm_Data!F23-ABS(Dunelm_Data!F28)</f>
        <v>21.1</v>
      </c>
      <c r="G11" s="46" t="n">
        <f aca="false">Dunelm_Data!G23-ABS(Dunelm_Data!G28)</f>
        <v>13.8</v>
      </c>
      <c r="H11" s="46" t="n">
        <f aca="false">Dunelm_Data!H23-ABS(Dunelm_Data!H28)</f>
        <v>9.39999999999998</v>
      </c>
      <c r="I11" s="47"/>
      <c r="J11" s="48" t="n">
        <f aca="false">Chemring_Data!C29-ABS(Chemring_Data!C33)</f>
        <v>57.4</v>
      </c>
      <c r="K11" s="48" t="n">
        <f aca="false">Chemring_Data!D29-ABS(Chemring_Data!D33)</f>
        <v>45.6</v>
      </c>
      <c r="L11" s="48" t="n">
        <f aca="false">Chemring_Data!E29-ABS(Chemring_Data!E33)</f>
        <v>67.5</v>
      </c>
      <c r="M11" s="48" t="n">
        <f aca="false">Chemring_Data!F29-ABS(Chemring_Data!F33)</f>
        <v>41.6</v>
      </c>
      <c r="N11" s="48" t="n">
        <f aca="false">Chemring_Data!G29-ABS(Chemring_Data!G33)</f>
        <v>93.7</v>
      </c>
      <c r="O11" s="48" t="n">
        <f aca="false">Chemring_Data!H29-ABS(Chemring_Data!H33)</f>
        <v>120.1</v>
      </c>
      <c r="P11" s="49" t="s">
        <v>397</v>
      </c>
    </row>
    <row r="12" customFormat="false" ht="15.75" hidden="false" customHeight="true" outlineLevel="0" collapsed="false">
      <c r="A12" s="13" t="s">
        <v>398</v>
      </c>
      <c r="B12" s="45" t="s">
        <v>399</v>
      </c>
      <c r="C12" s="68" t="n">
        <f aca="false">Dunelm_Data!C39/ABS(Dunelm_Data!C28)</f>
        <v>1.16154873164219</v>
      </c>
      <c r="D12" s="68" t="n">
        <f aca="false">Dunelm_Data!D39/ABS(Dunelm_Data!D28)</f>
        <v>1.07155399473222</v>
      </c>
      <c r="E12" s="68" t="n">
        <f aca="false">Dunelm_Data!E39/ABS(Dunelm_Data!E28)</f>
        <v>0.78083933870284</v>
      </c>
      <c r="F12" s="68" t="n">
        <f aca="false">Dunelm_Data!F39/ABS(Dunelm_Data!F28)</f>
        <v>0.91231884057971</v>
      </c>
      <c r="G12" s="68" t="n">
        <f aca="false">Dunelm_Data!G39/ABS(Dunelm_Data!G28)</f>
        <v>0.892433234421365</v>
      </c>
      <c r="H12" s="68" t="n">
        <f aca="false">Dunelm_Data!H39/ABS(Dunelm_Data!H28)</f>
        <v>0.881593927893738</v>
      </c>
      <c r="I12" s="47"/>
      <c r="J12" s="68" t="n">
        <f aca="false">Chemring_Data!C42/ABS(Chemring_Data!C33)</f>
        <v>0.678890876565295</v>
      </c>
      <c r="K12" s="68" t="n">
        <f aca="false">Chemring_Data!D42/ABS(Chemring_Data!D33)</f>
        <v>0.738536585365854</v>
      </c>
      <c r="L12" s="68" t="n">
        <f aca="false">Chemring_Data!E42/ABS(Chemring_Data!E33)</f>
        <v>0.708003518029903</v>
      </c>
      <c r="M12" s="68" t="n">
        <f aca="false">Chemring_Data!F42/ABS(Chemring_Data!F33)</f>
        <v>0.463757916959887</v>
      </c>
      <c r="N12" s="68" t="n">
        <f aca="false">Chemring_Data!G42/ABS(Chemring_Data!G33)</f>
        <v>0.475631238990018</v>
      </c>
      <c r="O12" s="68" t="n">
        <f aca="false">Chemring_Data!H42/ABS(Chemring_Data!H33)</f>
        <v>0.452333664349553</v>
      </c>
      <c r="P12" s="49" t="s">
        <v>400</v>
      </c>
    </row>
    <row r="13" customFormat="false" ht="6" hidden="false" customHeight="true" outlineLevel="0" collapsed="false"/>
    <row r="14" customFormat="false" ht="19.5" hidden="false" customHeight="true" outlineLevel="0" collapsed="false">
      <c r="A14" s="43" t="s">
        <v>401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 customFormat="false" ht="15.75" hidden="false" customHeight="true" outlineLevel="0" collapsed="false">
      <c r="A15" s="9" t="s">
        <v>402</v>
      </c>
      <c r="B15" s="45" t="s">
        <v>403</v>
      </c>
      <c r="C15" s="77" t="n">
        <f aca="false">ABS(Dunelm_Data!C45)</f>
        <v>54.6</v>
      </c>
      <c r="D15" s="77" t="n">
        <f aca="false">ABS(Dunelm_Data!D45)</f>
        <v>106</v>
      </c>
      <c r="E15" s="77" t="n">
        <f aca="false">ABS(Dunelm_Data!E45)</f>
        <v>24.3</v>
      </c>
      <c r="F15" s="77" t="n">
        <f aca="false">ABS(Dunelm_Data!F45)</f>
        <v>282.1</v>
      </c>
      <c r="G15" s="77" t="n">
        <f aca="false">ABS(Dunelm_Data!G45)</f>
        <v>163.3</v>
      </c>
      <c r="H15" s="77" t="n">
        <f aca="false">ABS(Dunelm_Data!H45)</f>
        <v>157.6</v>
      </c>
      <c r="I15" s="47"/>
      <c r="J15" s="78" t="n">
        <f aca="false">ABS(Chemring_Data!C46)</f>
        <v>10.4</v>
      </c>
      <c r="K15" s="78" t="n">
        <f aca="false">ABS(Chemring_Data!D46)</f>
        <v>11.9</v>
      </c>
      <c r="L15" s="78" t="n">
        <f aca="false">ABS(Chemring_Data!E46)</f>
        <v>14.4</v>
      </c>
      <c r="M15" s="78" t="n">
        <f aca="false">ABS(Chemring_Data!F46)</f>
        <v>17.3</v>
      </c>
      <c r="N15" s="78" t="n">
        <f aca="false">ABS(Chemring_Data!G46)</f>
        <v>19.6</v>
      </c>
      <c r="O15" s="78" t="n">
        <f aca="false">ABS(Chemring_Data!H46)</f>
        <v>21.5</v>
      </c>
      <c r="P15" s="49" t="s">
        <v>404</v>
      </c>
    </row>
    <row r="16" customFormat="false" ht="15.75" hidden="false" customHeight="true" outlineLevel="0" collapsed="false">
      <c r="A16" s="65" t="s">
        <v>405</v>
      </c>
      <c r="B16" s="45" t="s">
        <v>406</v>
      </c>
      <c r="C16" s="80" t="n">
        <f aca="false">(Dunelm_Data!C39+Dunelm_Data!C42)/ABS(Dunelm_Data!C45)</f>
        <v>2.96703296703297</v>
      </c>
      <c r="D16" s="80" t="n">
        <f aca="false">(Dunelm_Data!D39+Dunelm_Data!D42)/ABS(Dunelm_Data!D45)</f>
        <v>2.10943396226415</v>
      </c>
      <c r="E16" s="80" t="n">
        <f aca="false">(Dunelm_Data!E39+Dunelm_Data!E42)/ABS(Dunelm_Data!E45)</f>
        <v>6.95884773662551</v>
      </c>
      <c r="F16" s="80" t="n">
        <f aca="false">(Dunelm_Data!F39+Dunelm_Data!F42)/ABS(Dunelm_Data!F45)</f>
        <v>0.809996455157745</v>
      </c>
      <c r="G16" s="80" t="n">
        <f aca="false">(Dunelm_Data!G39+Dunelm_Data!G42)/ABS(Dunelm_Data!G45)</f>
        <v>1.3423147581139</v>
      </c>
      <c r="H16" s="80" t="n">
        <f aca="false">(Dunelm_Data!H39+Dunelm_Data!H42)/ABS(Dunelm_Data!H45)</f>
        <v>1.28489847715736</v>
      </c>
      <c r="I16" s="47"/>
      <c r="J16" s="80" t="n">
        <f aca="false">(Chemring_Data!C42+Chemring_Data!C43)/ABS(Chemring_Data!C46)</f>
        <v>3.875</v>
      </c>
      <c r="K16" s="80" t="n">
        <f aca="false">(Chemring_Data!D42+Chemring_Data!D43)/ABS(Chemring_Data!D46)</f>
        <v>4.00840336134454</v>
      </c>
      <c r="L16" s="80" t="n">
        <f aca="false">(Chemring_Data!E42+Chemring_Data!E43)/ABS(Chemring_Data!E46)</f>
        <v>3.40277777777778</v>
      </c>
      <c r="M16" s="80" t="n">
        <f aca="false">(Chemring_Data!F42+Chemring_Data!F43)/ABS(Chemring_Data!F46)</f>
        <v>1.91907514450867</v>
      </c>
      <c r="N16" s="80" t="n">
        <f aca="false">(Chemring_Data!G42+Chemring_Data!G43)/ABS(Chemring_Data!G46)</f>
        <v>0.918367346938775</v>
      </c>
      <c r="O16" s="80" t="n">
        <f aca="false">(Chemring_Data!H42+Chemring_Data!H43)/ABS(Chemring_Data!H46)</f>
        <v>0.0418604651162787</v>
      </c>
      <c r="P16" s="49" t="s">
        <v>407</v>
      </c>
    </row>
    <row r="17" customFormat="false" ht="15.75" hidden="false" customHeight="true" outlineLevel="0" collapsed="false">
      <c r="A17" s="9" t="s">
        <v>408</v>
      </c>
      <c r="B17" s="45" t="s">
        <v>409</v>
      </c>
      <c r="C17" s="70" t="n">
        <f aca="false">Dunelm_Data!C39/ABS(Dunelm_Data!C45)</f>
        <v>3.18681318681319</v>
      </c>
      <c r="D17" s="70" t="n">
        <f aca="false">Dunelm_Data!D39/ABS(Dunelm_Data!D45)</f>
        <v>2.30283018867925</v>
      </c>
      <c r="E17" s="70" t="n">
        <f aca="false">Dunelm_Data!E39/ABS(Dunelm_Data!E45)</f>
        <v>7.58024691358025</v>
      </c>
      <c r="F17" s="70" t="n">
        <f aca="false">Dunelm_Data!F39/ABS(Dunelm_Data!F45)</f>
        <v>0.892591279688054</v>
      </c>
      <c r="G17" s="70" t="n">
        <f aca="false">Dunelm_Data!G39/ABS(Dunelm_Data!G45)</f>
        <v>1.473361910594</v>
      </c>
      <c r="H17" s="70" t="n">
        <f aca="false">Dunelm_Data!H39/ABS(Dunelm_Data!H45)</f>
        <v>1.4739847715736</v>
      </c>
      <c r="I17" s="47"/>
      <c r="J17" s="71" t="n">
        <f aca="false">Chemring_Data!C42/ABS(Chemring_Data!C46)</f>
        <v>7.29807692307692</v>
      </c>
      <c r="K17" s="71" t="n">
        <f aca="false">Chemring_Data!D42/ABS(Chemring_Data!D46)</f>
        <v>6.36134453781513</v>
      </c>
      <c r="L17" s="71" t="n">
        <f aca="false">Chemring_Data!E42/ABS(Chemring_Data!E46)</f>
        <v>5.59027777777778</v>
      </c>
      <c r="M17" s="71" t="n">
        <f aca="false">Chemring_Data!F42/ABS(Chemring_Data!F46)</f>
        <v>3.8092485549133</v>
      </c>
      <c r="N17" s="71" t="n">
        <f aca="false">Chemring_Data!G42/ABS(Chemring_Data!G46)</f>
        <v>4.13265306122449</v>
      </c>
      <c r="O17" s="71" t="n">
        <f aca="false">Chemring_Data!H42/ABS(Chemring_Data!H46)</f>
        <v>4.23720930232558</v>
      </c>
      <c r="P17" s="49" t="s">
        <v>410</v>
      </c>
    </row>
    <row r="18" customFormat="false" ht="6" hidden="false" customHeight="true" outlineLevel="0" collapsed="false"/>
    <row r="19" customFormat="false" ht="19.5" hidden="false" customHeight="true" outlineLevel="0" collapsed="false">
      <c r="A19" s="43" t="s">
        <v>411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</row>
    <row r="20" customFormat="false" ht="15.75" hidden="false" customHeight="true" outlineLevel="0" collapsed="false">
      <c r="A20" s="9" t="s">
        <v>412</v>
      </c>
      <c r="B20" s="45" t="s">
        <v>413</v>
      </c>
      <c r="C20" s="53" t="n">
        <f aca="false">Dunelm_Data!C26/Dunelm_Data!C5</f>
        <v>0.0172664485641585</v>
      </c>
      <c r="D20" s="53" t="n">
        <f aca="false">Dunelm_Data!D26/Dunelm_Data!D5</f>
        <v>0.0850742036109273</v>
      </c>
      <c r="E20" s="53" t="n">
        <f aca="false">Dunelm_Data!E26/Dunelm_Data!E5</f>
        <v>0.0962430773836252</v>
      </c>
      <c r="F20" s="53" t="n">
        <f aca="false">Dunelm_Data!F26/Dunelm_Data!F5</f>
        <v>0.0190970026558745</v>
      </c>
      <c r="G20" s="53" t="n">
        <f aca="false">Dunelm_Data!G26/Dunelm_Data!G5</f>
        <v>0.0282523797900903</v>
      </c>
      <c r="H20" s="53" t="n">
        <f aca="false">Dunelm_Data!H26/Dunelm_Data!H5</f>
        <v>0.0137122765895107</v>
      </c>
      <c r="I20" s="47"/>
      <c r="J20" s="55" t="n">
        <f aca="false">Chemring_Data!C28/Chemring_Data!C5</f>
        <v>0.0365217391304348</v>
      </c>
      <c r="K20" s="55" t="n">
        <f aca="false">Chemring_Data!D28/Chemring_Data!D5</f>
        <v>0.0147470124586829</v>
      </c>
      <c r="L20" s="55" t="n">
        <f aca="false">Chemring_Data!E28/Chemring_Data!E5</f>
        <v>0.0493765586034913</v>
      </c>
      <c r="M20" s="55" t="n">
        <f aca="false">Chemring_Data!F28/Chemring_Data!F5</f>
        <v>0.0135421074904782</v>
      </c>
      <c r="N20" s="55" t="n">
        <f aca="false">Chemring_Data!G28/Chemring_Data!G5</f>
        <v>0.0921564611918902</v>
      </c>
      <c r="O20" s="55" t="n">
        <f aca="false">Chemring_Data!H28/Chemring_Data!H5</f>
        <v>0.131256281407035</v>
      </c>
      <c r="P20" s="49" t="s">
        <v>414</v>
      </c>
    </row>
    <row r="21" customFormat="false" ht="15.75" hidden="false" customHeight="true" outlineLevel="0" collapsed="false">
      <c r="A21" s="65" t="s">
        <v>415</v>
      </c>
      <c r="B21" s="45" t="s">
        <v>416</v>
      </c>
      <c r="C21" s="69" t="n">
        <f aca="false">Dunelm_Data!C26-ABS(Dunelm_Data!C32)</f>
        <v>-25.3</v>
      </c>
      <c r="D21" s="69" t="n">
        <f aca="false">Dunelm_Data!D26-ABS(Dunelm_Data!D32)</f>
        <v>45.4</v>
      </c>
      <c r="E21" s="69" t="n">
        <f aca="false">Dunelm_Data!E26-ABS(Dunelm_Data!E32)</f>
        <v>128.6</v>
      </c>
      <c r="F21" s="69" t="n">
        <f aca="false">Dunelm_Data!F26-ABS(Dunelm_Data!F32)</f>
        <v>-22.6</v>
      </c>
      <c r="G21" s="69" t="n">
        <f aca="false">Dunelm_Data!G26-ABS(Dunelm_Data!G32)</f>
        <v>-29.6</v>
      </c>
      <c r="H21" s="69" t="n">
        <f aca="false">Dunelm_Data!H26-ABS(Dunelm_Data!H32)</f>
        <v>-53.6</v>
      </c>
      <c r="I21" s="47"/>
      <c r="J21" s="69" t="n">
        <f aca="false">Chemring_Data!C28-ABS(Chemring_Data!C31)-ABS(Chemring_Data!C34)</f>
        <v>-42.8</v>
      </c>
      <c r="K21" s="69" t="n">
        <f aca="false">Chemring_Data!D28-ABS(Chemring_Data!D31)-ABS(Chemring_Data!D34)</f>
        <v>-22.7</v>
      </c>
      <c r="L21" s="69" t="n">
        <f aca="false">Chemring_Data!E28-ABS(Chemring_Data!E31)-ABS(Chemring_Data!E34)</f>
        <v>-1.1</v>
      </c>
      <c r="M21" s="69" t="n">
        <f aca="false">Chemring_Data!F28-ABS(Chemring_Data!F31)-ABS(Chemring_Data!F34)</f>
        <v>-7.7</v>
      </c>
      <c r="N21" s="69" t="n">
        <f aca="false">Chemring_Data!G28-ABS(Chemring_Data!G31)-ABS(Chemring_Data!G34)</f>
        <v>-41.7</v>
      </c>
      <c r="O21" s="69" t="n">
        <f aca="false">Chemring_Data!H28-ABS(Chemring_Data!H31)-ABS(Chemring_Data!H34)</f>
        <v>-73.5</v>
      </c>
      <c r="P21" s="49" t="s">
        <v>417</v>
      </c>
    </row>
    <row r="22" customFormat="false" ht="6" hidden="false" customHeight="true" outlineLevel="0" collapsed="false"/>
    <row r="23" customFormat="false" ht="13.5" hidden="false" customHeight="true" outlineLevel="0" collapsed="false">
      <c r="A23" s="60" t="s">
        <v>418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</sheetData>
  <mergeCells count="9">
    <mergeCell ref="A1:P1"/>
    <mergeCell ref="A2:P2"/>
    <mergeCell ref="C4:H4"/>
    <mergeCell ref="J4:O4"/>
    <mergeCell ref="A5:P5"/>
    <mergeCell ref="A10:P10"/>
    <mergeCell ref="A14:P14"/>
    <mergeCell ref="A19:P19"/>
    <mergeCell ref="A23:P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60"/>
    <col collapsed="false" customWidth="true" hidden="false" outlineLevel="0" max="8" min="3" style="1" width="11"/>
    <col collapsed="false" customWidth="true" hidden="false" outlineLevel="0" max="9" min="9" style="1" width="3"/>
    <col collapsed="false" customWidth="true" hidden="false" outlineLevel="0" max="15" min="10" style="1" width="11"/>
    <col collapsed="false" customWidth="true" hidden="false" outlineLevel="0" max="16" min="16" style="1" width="40"/>
  </cols>
  <sheetData>
    <row r="1" customFormat="false" ht="25.5" hidden="false" customHeight="true" outlineLevel="0" collapsed="false">
      <c r="A1" s="33" t="s">
        <v>419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5.75" hidden="false" customHeight="true" outlineLevel="0" collapsed="false">
      <c r="A2" s="34" t="s">
        <v>420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customFormat="false" ht="30" hidden="false" customHeight="true" outlineLevel="0" collapsed="false">
      <c r="A3" s="15" t="s">
        <v>33</v>
      </c>
      <c r="B3" s="15" t="s">
        <v>191</v>
      </c>
      <c r="C3" s="35" t="s">
        <v>192</v>
      </c>
      <c r="D3" s="35" t="s">
        <v>193</v>
      </c>
      <c r="E3" s="35" t="s">
        <v>194</v>
      </c>
      <c r="F3" s="35" t="s">
        <v>195</v>
      </c>
      <c r="G3" s="35" t="s">
        <v>196</v>
      </c>
      <c r="H3" s="35" t="s">
        <v>197</v>
      </c>
      <c r="I3" s="36"/>
      <c r="J3" s="37" t="s">
        <v>193</v>
      </c>
      <c r="K3" s="37" t="s">
        <v>194</v>
      </c>
      <c r="L3" s="37" t="s">
        <v>195</v>
      </c>
      <c r="M3" s="37" t="s">
        <v>196</v>
      </c>
      <c r="N3" s="37" t="s">
        <v>197</v>
      </c>
      <c r="O3" s="37" t="s">
        <v>198</v>
      </c>
      <c r="P3" s="38" t="s">
        <v>199</v>
      </c>
    </row>
    <row r="4" customFormat="false" ht="18" hidden="false" customHeight="true" outlineLevel="0" collapsed="false">
      <c r="A4" s="39"/>
      <c r="B4" s="40" t="s">
        <v>277</v>
      </c>
      <c r="C4" s="41" t="s">
        <v>201</v>
      </c>
      <c r="D4" s="41"/>
      <c r="E4" s="41"/>
      <c r="F4" s="41"/>
      <c r="G4" s="41"/>
      <c r="H4" s="41"/>
      <c r="I4" s="39"/>
      <c r="J4" s="42" t="s">
        <v>202</v>
      </c>
      <c r="K4" s="42"/>
      <c r="L4" s="42"/>
      <c r="M4" s="42"/>
      <c r="N4" s="42"/>
      <c r="O4" s="42"/>
      <c r="P4" s="39"/>
    </row>
    <row r="5" customFormat="false" ht="19.5" hidden="false" customHeight="true" outlineLevel="0" collapsed="false">
      <c r="A5" s="43" t="s">
        <v>421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customFormat="false" ht="15.75" hidden="false" customHeight="true" outlineLevel="0" collapsed="false">
      <c r="A6" s="44" t="s">
        <v>422</v>
      </c>
      <c r="B6" s="45" t="s">
        <v>423</v>
      </c>
      <c r="C6" s="72" t="n">
        <f aca="false">ABS(Dunelm_Data!C32)/Dunelm_Data!C35</f>
        <v>0.238428417653391</v>
      </c>
      <c r="D6" s="72" t="n">
        <f aca="false">ABS(Dunelm_Data!D32)/Dunelm_Data!D35</f>
        <v>0.257208765859285</v>
      </c>
      <c r="E6" s="72" t="n">
        <f aca="false">ABS(Dunelm_Data!E32)/Dunelm_Data!E35</f>
        <v>0</v>
      </c>
      <c r="F6" s="72" t="n">
        <f aca="false">ABS(Dunelm_Data!F32)/Dunelm_Data!F35</f>
        <v>0.296130117779024</v>
      </c>
      <c r="G6" s="72" t="n">
        <f aca="false">ABS(Dunelm_Data!G32)/Dunelm_Data!G35</f>
        <v>0.552</v>
      </c>
      <c r="H6" s="72" t="n">
        <f aca="false">ABS(Dunelm_Data!H32)/Dunelm_Data!H35</f>
        <v>0.558375634517767</v>
      </c>
      <c r="I6" s="47"/>
      <c r="J6" s="73" t="n">
        <f aca="false">(ABS(Chemring_Data!C31)+ABS(Chemring_Data!C34))/Chemring_Data!C37</f>
        <v>0.174453883495146</v>
      </c>
      <c r="K6" s="73" t="n">
        <f aca="false">(ABS(Chemring_Data!D31)+ABS(Chemring_Data!D34))/Chemring_Data!D37</f>
        <v>0.0807823129251701</v>
      </c>
      <c r="L6" s="73" t="n">
        <f aca="false">(ABS(Chemring_Data!E31)+ABS(Chemring_Data!E34))/Chemring_Data!E37</f>
        <v>0.0499880411384836</v>
      </c>
      <c r="M6" s="73" t="n">
        <f aca="false">(ABS(Chemring_Data!F31)+ABS(Chemring_Data!F34))/Chemring_Data!F37</f>
        <v>0.0372523117569353</v>
      </c>
      <c r="N6" s="73" t="n">
        <f aca="false">(ABS(Chemring_Data!G31)+ABS(Chemring_Data!G34))/Chemring_Data!G37</f>
        <v>0.243334268874544</v>
      </c>
      <c r="O6" s="73" t="n">
        <f aca="false">(ABS(Chemring_Data!H31)+ABS(Chemring_Data!H34))/Chemring_Data!H37</f>
        <v>0.363350785340314</v>
      </c>
      <c r="P6" s="49" t="s">
        <v>424</v>
      </c>
    </row>
    <row r="7" customFormat="false" ht="15.75" hidden="false" customHeight="true" outlineLevel="0" collapsed="false">
      <c r="A7" s="13" t="s">
        <v>425</v>
      </c>
      <c r="B7" s="45" t="s">
        <v>426</v>
      </c>
      <c r="C7" s="68" t="n">
        <f aca="false">ABS(Dunelm_Data!C34)/Dunelm_Data!C27</f>
        <v>0.554543274994006</v>
      </c>
      <c r="D7" s="68" t="n">
        <f aca="false">ABS(Dunelm_Data!D34)/Dunelm_Data!D27</f>
        <v>0.757821229050279</v>
      </c>
      <c r="E7" s="68" t="n">
        <f aca="false">ABS(Dunelm_Data!E34)/Dunelm_Data!E27</f>
        <v>0.63323333768097</v>
      </c>
      <c r="F7" s="68" t="n">
        <f aca="false">ABS(Dunelm_Data!F34)/Dunelm_Data!F27</f>
        <v>0.758368342593847</v>
      </c>
      <c r="G7" s="68" t="n">
        <f aca="false">ABS(Dunelm_Data!G34)/Dunelm_Data!G27</f>
        <v>0.802669345579793</v>
      </c>
      <c r="H7" s="68" t="n">
        <f aca="false">ABS(Dunelm_Data!H34)/Dunelm_Data!H27</f>
        <v>0.797800586510264</v>
      </c>
      <c r="I7" s="47"/>
      <c r="J7" s="68" t="n">
        <f aca="false">ABS(Chemring_Data!C36)/Chemring_Data!C30</f>
        <v>0.391207979312893</v>
      </c>
      <c r="K7" s="68" t="n">
        <f aca="false">ABS(Chemring_Data!D36)/Chemring_Data!D30</f>
        <v>0.336218250235183</v>
      </c>
      <c r="L7" s="68" t="n">
        <f aca="false">ABS(Chemring_Data!E36)/Chemring_Data!E30</f>
        <v>0.325753910659571</v>
      </c>
      <c r="M7" s="68" t="n">
        <f aca="false">ABS(Chemring_Data!F36)/Chemring_Data!F30</f>
        <v>0.365358819584172</v>
      </c>
      <c r="N7" s="68" t="n">
        <f aca="false">ABS(Chemring_Data!G36)/Chemring_Data!G30</f>
        <v>0.485190001444878</v>
      </c>
      <c r="O7" s="68" t="n">
        <f aca="false">ABS(Chemring_Data!H36)/Chemring_Data!H30</f>
        <v>0.557409338431236</v>
      </c>
      <c r="P7" s="49" t="s">
        <v>427</v>
      </c>
    </row>
    <row r="8" customFormat="false" ht="15.75" hidden="false" customHeight="true" outlineLevel="0" collapsed="false">
      <c r="A8" s="9" t="s">
        <v>428</v>
      </c>
      <c r="B8" s="45" t="s">
        <v>429</v>
      </c>
      <c r="C8" s="53" t="n">
        <f aca="false">Dunelm_Data!C35/Dunelm_Data!C27</f>
        <v>0.445456725005994</v>
      </c>
      <c r="D8" s="53" t="n">
        <f aca="false">Dunelm_Data!D35/Dunelm_Data!D27</f>
        <v>0.242178770949721</v>
      </c>
      <c r="E8" s="53" t="n">
        <f aca="false">Dunelm_Data!E35/Dunelm_Data!E27</f>
        <v>0.36676666231903</v>
      </c>
      <c r="F8" s="53" t="n">
        <f aca="false">Dunelm_Data!F35/Dunelm_Data!F27</f>
        <v>0.241631657406153</v>
      </c>
      <c r="G8" s="53" t="n">
        <f aca="false">Dunelm_Data!G35/Dunelm_Data!G27</f>
        <v>0.197330654420207</v>
      </c>
      <c r="H8" s="53" t="n">
        <f aca="false">Dunelm_Data!H35/Dunelm_Data!H27</f>
        <v>0.202199413489736</v>
      </c>
      <c r="I8" s="47"/>
      <c r="J8" s="55" t="n">
        <f aca="false">Chemring_Data!C37/Chemring_Data!C30</f>
        <v>0.608792020687108</v>
      </c>
      <c r="K8" s="55" t="n">
        <f aca="false">Chemring_Data!D37/Chemring_Data!D30</f>
        <v>0.663781749764817</v>
      </c>
      <c r="L8" s="55" t="n">
        <f aca="false">Chemring_Data!E37/Chemring_Data!E30</f>
        <v>0.674246089340429</v>
      </c>
      <c r="M8" s="55" t="n">
        <f aca="false">Chemring_Data!F37/Chemring_Data!F30</f>
        <v>0.634641180415828</v>
      </c>
      <c r="N8" s="55" t="n">
        <f aca="false">Chemring_Data!G37/Chemring_Data!G30</f>
        <v>0.514809998555122</v>
      </c>
      <c r="O8" s="55" t="n">
        <f aca="false">Chemring_Data!H37/Chemring_Data!H30</f>
        <v>0.442590661568764</v>
      </c>
      <c r="P8" s="49" t="s">
        <v>430</v>
      </c>
    </row>
    <row r="9" customFormat="false" ht="6" hidden="false" customHeight="true" outlineLevel="0" collapsed="false"/>
    <row r="10" customFormat="false" ht="19.5" hidden="false" customHeight="true" outlineLevel="0" collapsed="false">
      <c r="A10" s="43" t="s">
        <v>431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</row>
    <row r="11" customFormat="false" ht="15.75" hidden="false" customHeight="true" outlineLevel="0" collapsed="false">
      <c r="A11" s="44" t="s">
        <v>432</v>
      </c>
      <c r="B11" s="45" t="s">
        <v>433</v>
      </c>
      <c r="C11" s="72" t="n">
        <f aca="false">(ABS(Dunelm_Data!C32)-Dunelm_Data!C26)/(Dunelm_Data!C9+Dunelm_Data!C40+Dunelm_Data!C41)</f>
        <v>0.158521303258145</v>
      </c>
      <c r="D11" s="72" t="n">
        <f aca="false">(ABS(Dunelm_Data!D32)-Dunelm_Data!D26)/(Dunelm_Data!D9+Dunelm_Data!D40+Dunelm_Data!D41)</f>
        <v>-0.233659289758106</v>
      </c>
      <c r="E11" s="72" t="n">
        <f aca="false">(ABS(Dunelm_Data!E32)-Dunelm_Data!E26)/(Dunelm_Data!E9+Dunelm_Data!E40+Dunelm_Data!E41)</f>
        <v>-0.527265272652726</v>
      </c>
      <c r="F11" s="72" t="n">
        <f aca="false">(ABS(Dunelm_Data!F32)-Dunelm_Data!F26)/(Dunelm_Data!F9+Dunelm_Data!F40+Dunelm_Data!F41)</f>
        <v>0.0761455525606469</v>
      </c>
      <c r="G11" s="72" t="n">
        <f aca="false">(ABS(Dunelm_Data!G32)-Dunelm_Data!G26)/(Dunelm_Data!G9+Dunelm_Data!G40+Dunelm_Data!G41)</f>
        <v>0.106513134220943</v>
      </c>
      <c r="H11" s="72" t="n">
        <f aca="false">(ABS(Dunelm_Data!H32)-Dunelm_Data!H26)/(Dunelm_Data!H9+Dunelm_Data!H40+Dunelm_Data!H41)</f>
        <v>0.182374957468527</v>
      </c>
      <c r="I11" s="47"/>
      <c r="J11" s="73" t="n">
        <f aca="false">((ABS(Chemring_Data!C31)+ABS(Chemring_Data!C34))-Chemring_Data!C28)/(Chemring_Data!C6+Chemring_Data!C56)</f>
        <v>0.665629860031104</v>
      </c>
      <c r="K11" s="73" t="n">
        <f aca="false">((ABS(Chemring_Data!D31)+ABS(Chemring_Data!D34))-Chemring_Data!D28)/(Chemring_Data!D6+Chemring_Data!D56)</f>
        <v>0.329462989840348</v>
      </c>
      <c r="L11" s="73" t="n">
        <f aca="false">((ABS(Chemring_Data!E31)+ABS(Chemring_Data!E34))-Chemring_Data!E28)/(Chemring_Data!E6+Chemring_Data!E56)</f>
        <v>0.0160818713450292</v>
      </c>
      <c r="M11" s="73" t="n">
        <f aca="false">((ABS(Chemring_Data!F31)+ABS(Chemring_Data!F34))-Chemring_Data!F28)/(Chemring_Data!F6+Chemring_Data!F56)</f>
        <v>0.117737003058104</v>
      </c>
      <c r="N11" s="73" t="n">
        <f aca="false">((ABS(Chemring_Data!G31)+ABS(Chemring_Data!G34))-Chemring_Data!G28)/(Chemring_Data!G6+Chemring_Data!G56)</f>
        <v>0.530534351145038</v>
      </c>
      <c r="O11" s="73" t="n">
        <f aca="false">((ABS(Chemring_Data!H31)+ABS(Chemring_Data!H34))-Chemring_Data!H28)/(Chemring_Data!H6+Chemring_Data!H56)</f>
        <v>0.746951219512195</v>
      </c>
      <c r="P11" s="49" t="s">
        <v>434</v>
      </c>
    </row>
    <row r="12" customFormat="false" ht="15.75" hidden="false" customHeight="true" outlineLevel="0" collapsed="false">
      <c r="A12" s="13" t="s">
        <v>435</v>
      </c>
      <c r="B12" s="45" t="s">
        <v>436</v>
      </c>
      <c r="C12" s="68" t="n">
        <f aca="false">ABS(Dunelm_Data!C32)/(Dunelm_Data!C9+Dunelm_Data!C40+Dunelm_Data!C41)</f>
        <v>0.277568922305764</v>
      </c>
      <c r="D12" s="68" t="n">
        <f aca="false">ABS(Dunelm_Data!D32)/(Dunelm_Data!D9+Dunelm_Data!D40+Dunelm_Data!D41)</f>
        <v>0.229541945445188</v>
      </c>
      <c r="E12" s="68" t="n">
        <f aca="false">ABS(Dunelm_Data!E32)/(Dunelm_Data!E9+Dunelm_Data!E40+Dunelm_Data!E41)</f>
        <v>0</v>
      </c>
      <c r="F12" s="68" t="n">
        <f aca="false">ABS(Dunelm_Data!F32)/(Dunelm_Data!F9+Dunelm_Data!F40+Dunelm_Data!F41)</f>
        <v>0.177897574123989</v>
      </c>
      <c r="G12" s="68" t="n">
        <f aca="false">ABS(Dunelm_Data!G32)/(Dunelm_Data!G9+Dunelm_Data!G40+Dunelm_Data!G41)</f>
        <v>0.273119827275999</v>
      </c>
      <c r="H12" s="68" t="n">
        <f aca="false">ABS(Dunelm_Data!H32)/(Dunelm_Data!H9+Dunelm_Data!H40+Dunelm_Data!H41)</f>
        <v>0.261993875467846</v>
      </c>
      <c r="I12" s="47"/>
      <c r="J12" s="68" t="n">
        <f aca="false">(ABS(Chemring_Data!C31)+ABS(Chemring_Data!C34))/(Chemring_Data!C6+Chemring_Data!C56)</f>
        <v>0.894245723172628</v>
      </c>
      <c r="K12" s="68" t="n">
        <f aca="false">(ABS(Chemring_Data!D31)+ABS(Chemring_Data!D34))/(Chemring_Data!D6+Chemring_Data!D56)</f>
        <v>0.413642960812772</v>
      </c>
      <c r="L12" s="68" t="n">
        <f aca="false">(ABS(Chemring_Data!E31)+ABS(Chemring_Data!E34))/(Chemring_Data!E6+Chemring_Data!E56)</f>
        <v>0.305555555555556</v>
      </c>
      <c r="M12" s="68" t="n">
        <f aca="false">(ABS(Chemring_Data!F31)+ABS(Chemring_Data!F34))/(Chemring_Data!F6+Chemring_Data!F56)</f>
        <v>0.215596330275229</v>
      </c>
      <c r="N12" s="68" t="n">
        <f aca="false">(ABS(Chemring_Data!G31)+ABS(Chemring_Data!G34))/(Chemring_Data!G6+Chemring_Data!G56)</f>
        <v>1.1030534351145</v>
      </c>
      <c r="O12" s="68" t="n">
        <f aca="false">(ABS(Chemring_Data!H31)+ABS(Chemring_Data!H34))/(Chemring_Data!H6+Chemring_Data!H56)</f>
        <v>1.41056910569106</v>
      </c>
      <c r="P12" s="49" t="s">
        <v>437</v>
      </c>
    </row>
    <row r="13" customFormat="false" ht="6" hidden="false" customHeight="true" outlineLevel="0" collapsed="false"/>
    <row r="14" customFormat="false" ht="19.5" hidden="false" customHeight="true" outlineLevel="0" collapsed="false">
      <c r="A14" s="43" t="s">
        <v>438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 customFormat="false" ht="15.75" hidden="false" customHeight="true" outlineLevel="0" collapsed="false">
      <c r="A15" s="44" t="s">
        <v>439</v>
      </c>
      <c r="B15" s="45" t="s">
        <v>440</v>
      </c>
      <c r="C15" s="72" t="n">
        <f aca="false">Dunelm_Data!C9/ABS(Dunelm_Data!C11)</f>
        <v>66.7894736842105</v>
      </c>
      <c r="D15" s="72" t="n">
        <f aca="false">Dunelm_Data!D9/ABS(Dunelm_Data!D11)</f>
        <v>15.8904109589041</v>
      </c>
      <c r="E15" s="72" t="n">
        <f aca="false">Dunelm_Data!E9/ABS(Dunelm_Data!E11)</f>
        <v>19.1264367816092</v>
      </c>
      <c r="F15" s="72" t="n">
        <f aca="false">Dunelm_Data!F9/ABS(Dunelm_Data!F11)</f>
        <v>35.6885245901639</v>
      </c>
      <c r="G15" s="72" t="n">
        <f aca="false">Dunelm_Data!G9/ABS(Dunelm_Data!G11)</f>
        <v>25.4871794871795</v>
      </c>
      <c r="H15" s="72" t="n">
        <f aca="false">Dunelm_Data!H9/ABS(Dunelm_Data!H11)</f>
        <v>21.5454545454545</v>
      </c>
      <c r="I15" s="47"/>
      <c r="J15" s="73" t="n">
        <f aca="false">Chemring_Data!C6/ABS(Chemring_Data!C58)</f>
        <v>15.4333333333333</v>
      </c>
      <c r="K15" s="73" t="n">
        <f aca="false">Chemring_Data!D6/ABS(Chemring_Data!D58)</f>
        <v>31.5</v>
      </c>
      <c r="L15" s="73" t="n">
        <f aca="false">Chemring_Data!E6/ABS(Chemring_Data!E58)</f>
        <v>32.9333333333333</v>
      </c>
      <c r="M15" s="73" t="n">
        <f aca="false">Chemring_Data!F6/ABS(Chemring_Data!F58)</f>
        <v>34.9230769230769</v>
      </c>
      <c r="N15" s="73" t="n">
        <f aca="false">Chemring_Data!G6/ABS(Chemring_Data!G58)</f>
        <v>11.7916666666667</v>
      </c>
      <c r="O15" s="73" t="n">
        <f aca="false">Chemring_Data!H6/ABS(Chemring_Data!H58)</f>
        <v>12.8771929824561</v>
      </c>
      <c r="P15" s="49" t="s">
        <v>441</v>
      </c>
    </row>
    <row r="16" customFormat="false" ht="15.75" hidden="false" customHeight="true" outlineLevel="0" collapsed="false">
      <c r="A16" s="13" t="s">
        <v>442</v>
      </c>
      <c r="B16" s="45" t="s">
        <v>443</v>
      </c>
      <c r="C16" s="68" t="n">
        <f aca="false">(Dunelm_Data!C9+Dunelm_Data!C40+Dunelm_Data!C41)/ABS(Dunelm_Data!C11)</f>
        <v>84</v>
      </c>
      <c r="D16" s="68" t="n">
        <f aca="false">(Dunelm_Data!D9+Dunelm_Data!D40+Dunelm_Data!D41)/ABS(Dunelm_Data!D11)</f>
        <v>26.6164383561644</v>
      </c>
      <c r="E16" s="68" t="n">
        <f aca="false">(Dunelm_Data!E9+Dunelm_Data!E40+Dunelm_Data!E41)/ABS(Dunelm_Data!E11)</f>
        <v>28.0344827586207</v>
      </c>
      <c r="F16" s="68" t="n">
        <f aca="false">(Dunelm_Data!F9+Dunelm_Data!F40+Dunelm_Data!F41)/ABS(Dunelm_Data!F11)</f>
        <v>48.655737704918</v>
      </c>
      <c r="G16" s="68" t="n">
        <f aca="false">(Dunelm_Data!G9+Dunelm_Data!G40+Dunelm_Data!G41)/ABS(Dunelm_Data!G11)</f>
        <v>35.6282051282051</v>
      </c>
      <c r="H16" s="68" t="n">
        <f aca="false">(Dunelm_Data!H9+Dunelm_Data!H40+Dunelm_Data!H41)/ABS(Dunelm_Data!H11)</f>
        <v>29.6868686868687</v>
      </c>
      <c r="I16" s="47"/>
      <c r="J16" s="68" t="n">
        <f aca="false">(Chemring_Data!C6+Chemring_Data!C56)/ABS(Chemring_Data!C58)</f>
        <v>21.4333333333333</v>
      </c>
      <c r="K16" s="68" t="n">
        <f aca="false">(Chemring_Data!D6+Chemring_Data!D56)/ABS(Chemring_Data!D58)</f>
        <v>43.0625</v>
      </c>
      <c r="L16" s="68" t="n">
        <f aca="false">(Chemring_Data!E6+Chemring_Data!E56)/ABS(Chemring_Data!E58)</f>
        <v>45.6</v>
      </c>
      <c r="M16" s="68" t="n">
        <f aca="false">(Chemring_Data!F6+Chemring_Data!F56)/ABS(Chemring_Data!F58)</f>
        <v>50.3076923076923</v>
      </c>
      <c r="N16" s="68" t="n">
        <f aca="false">(Chemring_Data!G6+Chemring_Data!G56)/ABS(Chemring_Data!G58)</f>
        <v>16.375</v>
      </c>
      <c r="O16" s="68" t="n">
        <f aca="false">(Chemring_Data!H6+Chemring_Data!H56)/ABS(Chemring_Data!H58)</f>
        <v>17.2631578947368</v>
      </c>
      <c r="P16" s="49" t="s">
        <v>444</v>
      </c>
    </row>
    <row r="17" customFormat="false" ht="15.75" hidden="false" customHeight="true" outlineLevel="0" collapsed="false">
      <c r="A17" s="9" t="s">
        <v>445</v>
      </c>
      <c r="B17" s="45" t="s">
        <v>446</v>
      </c>
      <c r="C17" s="70" t="n">
        <f aca="false">(Dunelm_Data!C9-ABS(Dunelm_Data!C13))/(ABS(Dunelm_Data!C11)+ABS(Dunelm_Data!C41))</f>
        <v>53.8421052631579</v>
      </c>
      <c r="D17" s="70" t="n">
        <f aca="false">(Dunelm_Data!D9-ABS(Dunelm_Data!D13))/(ABS(Dunelm_Data!D11)+ABS(Dunelm_Data!D41))</f>
        <v>1.80534351145038</v>
      </c>
      <c r="E17" s="70" t="n">
        <f aca="false">(Dunelm_Data!E9-ABS(Dunelm_Data!E13))/(ABS(Dunelm_Data!E11)+ABS(Dunelm_Data!E41))</f>
        <v>2.52757352941176</v>
      </c>
      <c r="F17" s="70" t="n">
        <f aca="false">(Dunelm_Data!F9-ABS(Dunelm_Data!F13))/(ABS(Dunelm_Data!F11)+ABS(Dunelm_Data!F41))</f>
        <v>3.21937842778793</v>
      </c>
      <c r="G17" s="70" t="n">
        <f aca="false">(Dunelm_Data!G9-ABS(Dunelm_Data!G13))/(ABS(Dunelm_Data!G11)+ABS(Dunelm_Data!G41))</f>
        <v>2.76707530647986</v>
      </c>
      <c r="H17" s="70" t="n">
        <f aca="false">(Dunelm_Data!H9-ABS(Dunelm_Data!H13))/(ABS(Dunelm_Data!H11)+ABS(Dunelm_Data!H41))</f>
        <v>2.64725457570716</v>
      </c>
      <c r="I17" s="47"/>
      <c r="J17" s="71" t="n">
        <f aca="false">(Chemring_Data!C6-ABS(Chemring_Data!C10))/ABS(Chemring_Data!C58)</f>
        <v>12.5666666666667</v>
      </c>
      <c r="K17" s="71" t="n">
        <f aca="false">(Chemring_Data!D6-ABS(Chemring_Data!D10))/ABS(Chemring_Data!D58)</f>
        <v>26.9375</v>
      </c>
      <c r="L17" s="71" t="n">
        <f aca="false">(Chemring_Data!E6-ABS(Chemring_Data!E10))/ABS(Chemring_Data!E58)</f>
        <v>30.6</v>
      </c>
      <c r="M17" s="71" t="n">
        <f aca="false">(Chemring_Data!F6-ABS(Chemring_Data!F10))/ABS(Chemring_Data!F58)</f>
        <v>30</v>
      </c>
      <c r="N17" s="71" t="n">
        <f aca="false">(Chemring_Data!G6-ABS(Chemring_Data!G10))/ABS(Chemring_Data!G58)</f>
        <v>9.64583333333333</v>
      </c>
      <c r="O17" s="71" t="n">
        <f aca="false">(Chemring_Data!H6-ABS(Chemring_Data!H10))/ABS(Chemring_Data!H58)</f>
        <v>10.3508771929825</v>
      </c>
      <c r="P17" s="49" t="s">
        <v>447</v>
      </c>
    </row>
    <row r="18" customFormat="false" ht="6" hidden="false" customHeight="true" outlineLevel="0" collapsed="false"/>
    <row r="19" customFormat="false" ht="19.5" hidden="false" customHeight="true" outlineLevel="0" collapsed="false">
      <c r="A19" s="43" t="s">
        <v>448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</row>
    <row r="20" customFormat="false" ht="15.75" hidden="false" customHeight="true" outlineLevel="0" collapsed="false">
      <c r="A20" s="9" t="s">
        <v>449</v>
      </c>
      <c r="B20" s="45" t="s">
        <v>450</v>
      </c>
      <c r="C20" s="77" t="n">
        <f aca="false">Dunelm_Data!C36</f>
        <v>134</v>
      </c>
      <c r="D20" s="77" t="n">
        <f aca="false">Dunelm_Data!D36</f>
        <v>121.3</v>
      </c>
      <c r="E20" s="77" t="n">
        <f aca="false">Dunelm_Data!E36</f>
        <v>238.7</v>
      </c>
      <c r="F20" s="77" t="n">
        <f aca="false">Dunelm_Data!F36</f>
        <v>111.2</v>
      </c>
      <c r="G20" s="77" t="n">
        <f aca="false">Dunelm_Data!G36</f>
        <v>97.5</v>
      </c>
      <c r="H20" s="77" t="n">
        <f aca="false">Dunelm_Data!H36</f>
        <v>94.8</v>
      </c>
      <c r="I20" s="47"/>
      <c r="J20" s="78" t="n">
        <f aca="false">Chemring_Data!C38</f>
        <v>28</v>
      </c>
      <c r="K20" s="78" t="n">
        <f aca="false">Chemring_Data!D38</f>
        <v>56.2</v>
      </c>
      <c r="L20" s="78" t="n">
        <f aca="false">Chemring_Data!E38</f>
        <v>87.2</v>
      </c>
      <c r="M20" s="78" t="n">
        <f aca="false">Chemring_Data!F38</f>
        <v>62.9</v>
      </c>
      <c r="N20" s="78" t="n">
        <f aca="false">Chemring_Data!G38</f>
        <v>52.3</v>
      </c>
      <c r="O20" s="78" t="n">
        <f aca="false">Chemring_Data!H38</f>
        <v>78.5</v>
      </c>
      <c r="P20" s="49" t="s">
        <v>451</v>
      </c>
    </row>
    <row r="21" customFormat="false" ht="15.75" hidden="false" customHeight="true" outlineLevel="0" collapsed="false">
      <c r="A21" s="13" t="s">
        <v>452</v>
      </c>
      <c r="B21" s="45" t="s">
        <v>453</v>
      </c>
      <c r="C21" s="51" t="n">
        <f aca="false">ABS(Dunelm_Data!C42)/Dunelm_Data!C5</f>
        <v>0.0109051254089422</v>
      </c>
      <c r="D21" s="51" t="n">
        <f aca="false">ABS(Dunelm_Data!D42)/Dunelm_Data!D5</f>
        <v>0.0193780130447112</v>
      </c>
      <c r="E21" s="51" t="n">
        <f aca="false">ABS(Dunelm_Data!E42)/Dunelm_Data!E5</f>
        <v>0.0113007034875019</v>
      </c>
      <c r="F21" s="51" t="n">
        <f aca="false">ABS(Dunelm_Data!F42)/Dunelm_Data!F5</f>
        <v>0.0147337801947641</v>
      </c>
      <c r="G21" s="51" t="n">
        <f aca="false">ABS(Dunelm_Data!G42)/Dunelm_Data!G5</f>
        <v>0.013058335367342</v>
      </c>
      <c r="H21" s="51" t="n">
        <f aca="false">ABS(Dunelm_Data!H42)/Dunelm_Data!H5</f>
        <v>0.0174626428362145</v>
      </c>
      <c r="I21" s="47"/>
      <c r="J21" s="51" t="n">
        <f aca="false">ABS(Chemring_Data!C43)/Chemring_Data!C5</f>
        <v>0.0884472049689441</v>
      </c>
      <c r="K21" s="51" t="n">
        <f aca="false">ABS(Chemring_Data!D43)/Chemring_Data!D5</f>
        <v>0.0711924739384694</v>
      </c>
      <c r="L21" s="51" t="n">
        <f aca="false">ABS(Chemring_Data!E43)/Chemring_Data!E5</f>
        <v>0.0785536159600998</v>
      </c>
      <c r="M21" s="51" t="n">
        <f aca="false">ABS(Chemring_Data!F43)/Chemring_Data!F5</f>
        <v>0.0691917054591621</v>
      </c>
      <c r="N21" s="51" t="n">
        <f aca="false">ABS(Chemring_Data!G43)/Chemring_Data!G5</f>
        <v>0.129019045668646</v>
      </c>
      <c r="O21" s="51" t="n">
        <f aca="false">ABS(Chemring_Data!H43)/Chemring_Data!H5</f>
        <v>0.181306532663317</v>
      </c>
      <c r="P21" s="49" t="s">
        <v>454</v>
      </c>
    </row>
    <row r="22" customFormat="false" ht="15.75" hidden="false" customHeight="true" outlineLevel="0" collapsed="false">
      <c r="A22" s="9" t="s">
        <v>455</v>
      </c>
      <c r="B22" s="45" t="s">
        <v>456</v>
      </c>
      <c r="C22" s="70" t="n">
        <f aca="false">ABS(Dunelm_Data!C42)/(Dunelm_Data!C40+Dunelm_Data!C41)</f>
        <v>0.36697247706422</v>
      </c>
      <c r="D22" s="70" t="n">
        <f aca="false">ABS(Dunelm_Data!D42)/(Dunelm_Data!D40+Dunelm_Data!D41)</f>
        <v>0.261813537675607</v>
      </c>
      <c r="E22" s="70" t="n">
        <f aca="false">ABS(Dunelm_Data!E42)/(Dunelm_Data!E40+Dunelm_Data!E41)</f>
        <v>0.194838709677419</v>
      </c>
      <c r="F22" s="70" t="n">
        <f aca="false">ABS(Dunelm_Data!F42)/(Dunelm_Data!F40+Dunelm_Data!F41)</f>
        <v>0.29456384323641</v>
      </c>
      <c r="G22" s="70" t="n">
        <f aca="false">ABS(Dunelm_Data!G42)/(Dunelm_Data!G40+Dunelm_Data!G41)</f>
        <v>0.270543615676359</v>
      </c>
      <c r="H22" s="70" t="n">
        <f aca="false">ABS(Dunelm_Data!H42)/(Dunelm_Data!H40+Dunelm_Data!H41)</f>
        <v>0.369727047146402</v>
      </c>
      <c r="I22" s="47"/>
      <c r="J22" s="71" t="n">
        <f aca="false">ABS(Chemring_Data!C43)/Chemring_Data!C56</f>
        <v>1.97777777777778</v>
      </c>
      <c r="K22" s="71" t="n">
        <f aca="false">ABS(Chemring_Data!D43)/Chemring_Data!D56</f>
        <v>1.51351351351351</v>
      </c>
      <c r="L22" s="71" t="n">
        <f aca="false">ABS(Chemring_Data!E43)/Chemring_Data!E56</f>
        <v>1.65789473684211</v>
      </c>
      <c r="M22" s="71" t="n">
        <f aca="false">ABS(Chemring_Data!F43)/Chemring_Data!F56</f>
        <v>1.635</v>
      </c>
      <c r="N22" s="71" t="n">
        <f aca="false">ABS(Chemring_Data!G43)/Chemring_Data!G56</f>
        <v>2.86363636363636</v>
      </c>
      <c r="O22" s="71" t="n">
        <f aca="false">ABS(Chemring_Data!H43)/Chemring_Data!H56</f>
        <v>3.608</v>
      </c>
      <c r="P22" s="49" t="s">
        <v>457</v>
      </c>
    </row>
    <row r="23" customFormat="false" ht="6" hidden="false" customHeight="true" outlineLevel="0" collapsed="false"/>
    <row r="24" customFormat="false" ht="13.5" hidden="false" customHeight="true" outlineLevel="0" collapsed="false">
      <c r="A24" s="60" t="s">
        <v>458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</sheetData>
  <mergeCells count="9">
    <mergeCell ref="A1:P1"/>
    <mergeCell ref="A2:P2"/>
    <mergeCell ref="C4:H4"/>
    <mergeCell ref="J4:O4"/>
    <mergeCell ref="A5:P5"/>
    <mergeCell ref="A10:P10"/>
    <mergeCell ref="A14:P14"/>
    <mergeCell ref="A19:P19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62"/>
    <col collapsed="false" customWidth="true" hidden="false" outlineLevel="0" max="8" min="3" style="1" width="11"/>
    <col collapsed="false" customWidth="true" hidden="false" outlineLevel="0" max="9" min="9" style="1" width="3"/>
    <col collapsed="false" customWidth="true" hidden="false" outlineLevel="0" max="15" min="10" style="1" width="11"/>
    <col collapsed="false" customWidth="true" hidden="false" outlineLevel="0" max="16" min="16" style="1" width="40"/>
  </cols>
  <sheetData>
    <row r="1" customFormat="false" ht="25.5" hidden="false" customHeight="true" outlineLevel="0" collapsed="false">
      <c r="A1" s="33" t="s">
        <v>459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5.75" hidden="false" customHeight="true" outlineLevel="0" collapsed="false">
      <c r="A2" s="34" t="s">
        <v>460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customFormat="false" ht="30" hidden="false" customHeight="true" outlineLevel="0" collapsed="false">
      <c r="A3" s="15" t="s">
        <v>33</v>
      </c>
      <c r="B3" s="15" t="s">
        <v>191</v>
      </c>
      <c r="C3" s="35" t="s">
        <v>192</v>
      </c>
      <c r="D3" s="35" t="s">
        <v>193</v>
      </c>
      <c r="E3" s="35" t="s">
        <v>194</v>
      </c>
      <c r="F3" s="35" t="s">
        <v>195</v>
      </c>
      <c r="G3" s="35" t="s">
        <v>196</v>
      </c>
      <c r="H3" s="35" t="s">
        <v>197</v>
      </c>
      <c r="I3" s="36"/>
      <c r="J3" s="37" t="s">
        <v>193</v>
      </c>
      <c r="K3" s="37" t="s">
        <v>194</v>
      </c>
      <c r="L3" s="37" t="s">
        <v>195</v>
      </c>
      <c r="M3" s="37" t="s">
        <v>196</v>
      </c>
      <c r="N3" s="37" t="s">
        <v>197</v>
      </c>
      <c r="O3" s="37" t="s">
        <v>198</v>
      </c>
      <c r="P3" s="38" t="s">
        <v>199</v>
      </c>
    </row>
    <row r="4" customFormat="false" ht="18" hidden="false" customHeight="true" outlineLevel="0" collapsed="false">
      <c r="A4" s="39"/>
      <c r="B4" s="40" t="s">
        <v>277</v>
      </c>
      <c r="C4" s="41" t="s">
        <v>201</v>
      </c>
      <c r="D4" s="41"/>
      <c r="E4" s="41"/>
      <c r="F4" s="41"/>
      <c r="G4" s="41"/>
      <c r="H4" s="41"/>
      <c r="I4" s="39"/>
      <c r="J4" s="42" t="s">
        <v>202</v>
      </c>
      <c r="K4" s="42"/>
      <c r="L4" s="42"/>
      <c r="M4" s="42"/>
      <c r="N4" s="42"/>
      <c r="O4" s="42"/>
      <c r="P4" s="39"/>
    </row>
    <row r="5" customFormat="false" ht="19.5" hidden="false" customHeight="true" outlineLevel="0" collapsed="false">
      <c r="A5" s="43" t="s">
        <v>461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customFormat="false" ht="18" hidden="false" customHeight="true" outlineLevel="0" collapsed="false">
      <c r="A6" s="81" t="s">
        <v>462</v>
      </c>
      <c r="B6" s="45" t="s">
        <v>463</v>
      </c>
      <c r="C6" s="82" t="n">
        <v>700</v>
      </c>
      <c r="D6" s="82" t="n">
        <v>780</v>
      </c>
      <c r="E6" s="82" t="n">
        <v>1200</v>
      </c>
      <c r="F6" s="82" t="n">
        <v>1400</v>
      </c>
      <c r="G6" s="82" t="n">
        <v>990</v>
      </c>
      <c r="H6" s="82" t="n">
        <v>860</v>
      </c>
      <c r="I6" s="47"/>
      <c r="J6" s="83" t="n">
        <v>170</v>
      </c>
      <c r="K6" s="83" t="n">
        <v>195</v>
      </c>
      <c r="L6" s="83" t="n">
        <v>265</v>
      </c>
      <c r="M6" s="83" t="n">
        <v>260</v>
      </c>
      <c r="N6" s="83" t="n">
        <v>295</v>
      </c>
      <c r="O6" s="83" t="n">
        <v>390</v>
      </c>
      <c r="P6" s="84" t="s">
        <v>464</v>
      </c>
    </row>
    <row r="7" customFormat="false" ht="6" hidden="false" customHeight="true" outlineLevel="0" collapsed="false"/>
    <row r="8" customFormat="false" ht="19.5" hidden="false" customHeight="true" outlineLevel="0" collapsed="false">
      <c r="A8" s="43" t="s">
        <v>465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</row>
    <row r="9" customFormat="false" ht="15.75" hidden="false" customHeight="true" outlineLevel="0" collapsed="false">
      <c r="A9" s="44" t="s">
        <v>466</v>
      </c>
      <c r="B9" s="45" t="s">
        <v>467</v>
      </c>
      <c r="C9" s="61" t="n">
        <f aca="false">Dunelm_Data!C55/C6</f>
        <v>0.0387142857142857</v>
      </c>
      <c r="D9" s="61" t="n">
        <f aca="false">Dunelm_Data!D55/C6</f>
        <v>0.075</v>
      </c>
      <c r="E9" s="61" t="n">
        <f aca="false">Dunelm_Data!E55/C6</f>
        <v>0.0171428571428571</v>
      </c>
      <c r="F9" s="61" t="n">
        <f aca="false">Dunelm_Data!F55/C6</f>
        <v>0.198857142857143</v>
      </c>
      <c r="G9" s="61" t="n">
        <f aca="false">Dunelm_Data!G55/C6</f>
        <v>0.115428571428571</v>
      </c>
      <c r="H9" s="61" t="n">
        <f aca="false">Dunelm_Data!H55/C6</f>
        <v>0.111142857142857</v>
      </c>
      <c r="I9" s="47"/>
      <c r="J9" s="62" t="n">
        <f aca="false">Chemring_Data!C55/J6</f>
        <v>0.0217647058823529</v>
      </c>
      <c r="K9" s="62" t="n">
        <f aca="false">Chemring_Data!D55/K6</f>
        <v>0.0215384615384615</v>
      </c>
      <c r="L9" s="62" t="n">
        <f aca="false">Chemring_Data!E55/L6</f>
        <v>0.0192452830188679</v>
      </c>
      <c r="M9" s="62" t="n">
        <f aca="false">Chemring_Data!F55/M6</f>
        <v>0.0242307692307692</v>
      </c>
      <c r="N9" s="62" t="n">
        <f aca="false">Chemring_Data!G55/N6</f>
        <v>0.024406779661017</v>
      </c>
      <c r="O9" s="62" t="n">
        <f aca="false">Chemring_Data!H55/O6</f>
        <v>0.0202564102564103</v>
      </c>
      <c r="P9" s="49" t="s">
        <v>468</v>
      </c>
    </row>
    <row r="10" customFormat="false" ht="15.75" hidden="false" customHeight="true" outlineLevel="0" collapsed="false">
      <c r="A10" s="13" t="s">
        <v>247</v>
      </c>
      <c r="B10" s="45" t="s">
        <v>469</v>
      </c>
      <c r="C10" s="58" t="n">
        <f aca="false">Dunelm_Data!C55</f>
        <v>27.1</v>
      </c>
      <c r="D10" s="58" t="n">
        <f aca="false">Dunelm_Data!D55</f>
        <v>52.5</v>
      </c>
      <c r="E10" s="58" t="n">
        <f aca="false">Dunelm_Data!E55</f>
        <v>12</v>
      </c>
      <c r="F10" s="58" t="n">
        <f aca="false">Dunelm_Data!F55</f>
        <v>139.2</v>
      </c>
      <c r="G10" s="58" t="n">
        <f aca="false">Dunelm_Data!G55</f>
        <v>80.8</v>
      </c>
      <c r="H10" s="58" t="n">
        <f aca="false">Dunelm_Data!H55</f>
        <v>77.8</v>
      </c>
      <c r="I10" s="47"/>
      <c r="J10" s="58" t="n">
        <f aca="false">Chemring_Data!C55</f>
        <v>3.7</v>
      </c>
      <c r="K10" s="58" t="n">
        <f aca="false">Chemring_Data!D55</f>
        <v>4.2</v>
      </c>
      <c r="L10" s="58" t="n">
        <f aca="false">Chemring_Data!E55</f>
        <v>5.1</v>
      </c>
      <c r="M10" s="58" t="n">
        <f aca="false">Chemring_Data!F55</f>
        <v>6.3</v>
      </c>
      <c r="N10" s="58" t="n">
        <f aca="false">Chemring_Data!G55</f>
        <v>7.2</v>
      </c>
      <c r="O10" s="58" t="n">
        <f aca="false">Chemring_Data!H55</f>
        <v>7.9</v>
      </c>
      <c r="P10" s="49" t="s">
        <v>470</v>
      </c>
    </row>
    <row r="11" customFormat="false" ht="6" hidden="false" customHeight="true" outlineLevel="0" collapsed="false"/>
    <row r="12" customFormat="false" ht="19.5" hidden="false" customHeight="true" outlineLevel="0" collapsed="false">
      <c r="A12" s="43" t="s">
        <v>471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</row>
    <row r="13" customFormat="false" ht="15.75" hidden="false" customHeight="true" outlineLevel="0" collapsed="false">
      <c r="A13" s="44" t="s">
        <v>472</v>
      </c>
      <c r="B13" s="45" t="s">
        <v>473</v>
      </c>
      <c r="C13" s="72" t="n">
        <f aca="false">C6/Dunelm_Data!C15</f>
        <v>13.9442231075697</v>
      </c>
      <c r="D13" s="72" t="n">
        <f aca="false">C6/Dunelm_Data!D15</f>
        <v>16.1290322580645</v>
      </c>
      <c r="E13" s="72" t="n">
        <f aca="false">C6/Dunelm_Data!E15</f>
        <v>10.989010989011</v>
      </c>
      <c r="F13" s="72" t="n">
        <f aca="false">C6/Dunelm_Data!F15</f>
        <v>8.28402366863905</v>
      </c>
      <c r="G13" s="72" t="n">
        <f aca="false">C6/Dunelm_Data!G15</f>
        <v>9.30851063829787</v>
      </c>
      <c r="H13" s="72" t="n">
        <f aca="false">C6/Dunelm_Data!H15</f>
        <v>9.37081659973226</v>
      </c>
      <c r="I13" s="47"/>
      <c r="J13" s="73" t="n">
        <f aca="false">J6/Chemring_Data!C14</f>
        <v>13.8211382113821</v>
      </c>
      <c r="K13" s="73" t="n">
        <f aca="false">K6/Chemring_Data!D14</f>
        <v>13.265306122449</v>
      </c>
      <c r="L13" s="73" t="n">
        <f aca="false">L6/Chemring_Data!E14</f>
        <v>16.7721518987342</v>
      </c>
      <c r="M13" s="73" t="n">
        <f aca="false">M6/Chemring_Data!F14</f>
        <v>19.4029850746269</v>
      </c>
      <c r="N13" s="73" t="n">
        <f aca="false">N6/Chemring_Data!G14</f>
        <v>19.4078947368421</v>
      </c>
      <c r="O13" s="73" t="n">
        <f aca="false">O6/Chemring_Data!H14</f>
        <v>19.7969543147208</v>
      </c>
      <c r="P13" s="49" t="s">
        <v>474</v>
      </c>
    </row>
    <row r="14" customFormat="false" ht="15.75" hidden="false" customHeight="true" outlineLevel="0" collapsed="false">
      <c r="A14" s="13" t="s">
        <v>475</v>
      </c>
      <c r="B14" s="45" t="s">
        <v>476</v>
      </c>
      <c r="C14" s="85" t="n">
        <f aca="false">Dunelm_Data!C35/Dunelm_Data!C53</f>
        <v>0.920713577799802</v>
      </c>
      <c r="D14" s="85" t="n">
        <f aca="false">Dunelm_Data!D35/Dunelm_Data!D53</f>
        <v>0.858415841584158</v>
      </c>
      <c r="E14" s="85" t="n">
        <f aca="false">Dunelm_Data!E35/Dunelm_Data!E53</f>
        <v>1.39070227497527</v>
      </c>
      <c r="F14" s="85" t="n">
        <f aca="false">Dunelm_Data!F35/Dunelm_Data!F53</f>
        <v>0.880059230009872</v>
      </c>
      <c r="G14" s="85" t="n">
        <f aca="false">Dunelm_Data!G35/Dunelm_Data!G53</f>
        <v>0.680693069306931</v>
      </c>
      <c r="H14" s="85" t="n">
        <f aca="false">Dunelm_Data!H35/Dunelm_Data!H53</f>
        <v>0.680987654320988</v>
      </c>
      <c r="I14" s="47"/>
      <c r="J14" s="85" t="n">
        <f aca="false">Chemring_Data!C37/Chemring_Data!C54</f>
        <v>1.1700390486333</v>
      </c>
      <c r="K14" s="85" t="n">
        <f aca="false">Chemring_Data!D37/Chemring_Data!D54</f>
        <v>1.25150762681802</v>
      </c>
      <c r="L14" s="85" t="n">
        <f aca="false">Chemring_Data!E37/Chemring_Data!E54</f>
        <v>1.49161612557974</v>
      </c>
      <c r="M14" s="85" t="n">
        <f aca="false">Chemring_Data!F37/Chemring_Data!F54</f>
        <v>1.377365356623</v>
      </c>
      <c r="N14" s="85" t="n">
        <f aca="false">Chemring_Data!G37/Chemring_Data!G54</f>
        <v>1.31476014760148</v>
      </c>
      <c r="O14" s="85" t="n">
        <f aca="false">Chemring_Data!H37/Chemring_Data!H54</f>
        <v>1.41219963031423</v>
      </c>
      <c r="P14" s="49" t="s">
        <v>477</v>
      </c>
    </row>
    <row r="15" customFormat="false" ht="15.75" hidden="false" customHeight="true" outlineLevel="0" collapsed="false">
      <c r="A15" s="44" t="s">
        <v>478</v>
      </c>
      <c r="B15" s="45" t="s">
        <v>479</v>
      </c>
      <c r="C15" s="72" t="n">
        <f aca="false">(C6/100)/(Dunelm_Data!C35/Dunelm_Data!C53)</f>
        <v>7.60279870828848</v>
      </c>
      <c r="D15" s="72" t="n">
        <f aca="false">(C6/100)/(Dunelm_Data!D35/Dunelm_Data!D53)</f>
        <v>8.15455594002307</v>
      </c>
      <c r="E15" s="72" t="n">
        <f aca="false">(C6/100)/(Dunelm_Data!E35/Dunelm_Data!E53)</f>
        <v>5.03342816500711</v>
      </c>
      <c r="F15" s="72" t="n">
        <f aca="false">(C6/100)/(Dunelm_Data!F35/Dunelm_Data!F53)</f>
        <v>7.95401009534492</v>
      </c>
      <c r="G15" s="72" t="n">
        <f aca="false">(C6/100)/(Dunelm_Data!G35/Dunelm_Data!G53)</f>
        <v>10.2836363636364</v>
      </c>
      <c r="H15" s="72" t="n">
        <f aca="false">(C6/100)/(Dunelm_Data!H35/Dunelm_Data!H53)</f>
        <v>10.2791878172589</v>
      </c>
      <c r="I15" s="47"/>
      <c r="J15" s="73" t="n">
        <f aca="false">(J6/100)/(Chemring_Data!C37/Chemring_Data!C54)</f>
        <v>1.45294296116505</v>
      </c>
      <c r="K15" s="73" t="n">
        <f aca="false">(K6/100)/(Chemring_Data!D37/Chemring_Data!D54)</f>
        <v>1.55812074829932</v>
      </c>
      <c r="L15" s="73" t="n">
        <f aca="false">(L6/100)/(Chemring_Data!E37/Chemring_Data!E54)</f>
        <v>1.77659650801244</v>
      </c>
      <c r="M15" s="73" t="n">
        <f aca="false">(M6/100)/(Chemring_Data!F37/Chemring_Data!F54)</f>
        <v>1.88766182298547</v>
      </c>
      <c r="N15" s="73" t="n">
        <f aca="false">(N6/100)/(Chemring_Data!G37/Chemring_Data!G54)</f>
        <v>2.24375526241931</v>
      </c>
      <c r="O15" s="73" t="n">
        <f aca="false">(O6/100)/(Chemring_Data!H37/Chemring_Data!H54)</f>
        <v>2.76164921465969</v>
      </c>
      <c r="P15" s="49" t="s">
        <v>480</v>
      </c>
    </row>
    <row r="16" customFormat="false" ht="15.75" hidden="false" customHeight="true" outlineLevel="0" collapsed="false">
      <c r="A16" s="65" t="s">
        <v>481</v>
      </c>
      <c r="B16" s="45" t="s">
        <v>482</v>
      </c>
      <c r="C16" s="80" t="n">
        <f aca="false">((C6/100)*Dunelm_Data!C53+(ABS(Dunelm_Data!C32)-Dunelm_Data!C26))/(Dunelm_Data!C9+Dunelm_Data!C40+Dunelm_Data!C41)</f>
        <v>9.0093984962406</v>
      </c>
      <c r="D16" s="80" t="n">
        <f aca="false">((C6/100)*Dunelm_Data!D53+(ABS(Dunelm_Data!D32)-Dunelm_Data!D26))/(Dunelm_Data!D9+Dunelm_Data!D40+Dunelm_Data!D41)</f>
        <v>7.04374678332476</v>
      </c>
      <c r="E16" s="80" t="n">
        <f aca="false">((C6/100)*Dunelm_Data!E53+(ABS(Dunelm_Data!E32)-Dunelm_Data!E26))/(Dunelm_Data!E9+Dunelm_Data!E40+Dunelm_Data!E41)</f>
        <v>5.27593275932759</v>
      </c>
      <c r="F16" s="80" t="n">
        <f aca="false">((C6/100)*Dunelm_Data!F53+(ABS(Dunelm_Data!F32)-Dunelm_Data!F26))/(Dunelm_Data!F9+Dunelm_Data!F40+Dunelm_Data!F41)</f>
        <v>4.8544474393531</v>
      </c>
      <c r="G16" s="80" t="n">
        <f aca="false">((C6/100)*Dunelm_Data!G53+(ABS(Dunelm_Data!G32)-Dunelm_Data!G26))/(Dunelm_Data!G9+Dunelm_Data!G40+Dunelm_Data!G41)</f>
        <v>5.19467434328895</v>
      </c>
      <c r="H16" s="80" t="n">
        <f aca="false">((C6/100)*Dunelm_Data!H53+(ABS(Dunelm_Data!H32)-Dunelm_Data!H26))/(Dunelm_Data!H9+Dunelm_Data!H40+Dunelm_Data!H41)</f>
        <v>5.00544402858115</v>
      </c>
      <c r="I16" s="47"/>
      <c r="J16" s="80" t="n">
        <f aca="false">((J6/100)*Chemring_Data!C54+((ABS(Chemring_Data!C31)+ABS(Chemring_Data!C34))-Chemring_Data!C28))/(Chemring_Data!C6+Chemring_Data!C56)</f>
        <v>8.11337480559876</v>
      </c>
      <c r="K16" s="80" t="n">
        <f aca="false">((K6/100)*Chemring_Data!D54+((ABS(Chemring_Data!D31)+ABS(Chemring_Data!D34))-Chemring_Data!D28))/(Chemring_Data!D6+Chemring_Data!D56)</f>
        <v>8.3077648766328</v>
      </c>
      <c r="L16" s="80" t="n">
        <f aca="false">((L6/100)*Chemring_Data!E54+((ABS(Chemring_Data!E31)+ABS(Chemring_Data!E34))-Chemring_Data!E28))/(Chemring_Data!E6+Chemring_Data!E56)</f>
        <v>10.8756578947368</v>
      </c>
      <c r="M16" s="80" t="n">
        <f aca="false">((M6/100)*Chemring_Data!F54+((ABS(Chemring_Data!F31)+ABS(Chemring_Data!F34))-Chemring_Data!F28))/(Chemring_Data!F6+Chemring_Data!F56)</f>
        <v>11.0425076452599</v>
      </c>
      <c r="N16" s="80" t="n">
        <f aca="false">((N6/100)*Chemring_Data!G54+((ABS(Chemring_Data!G31)+ABS(Chemring_Data!G34))-Chemring_Data!G28))/(Chemring_Data!G6+Chemring_Data!G56)</f>
        <v>10.7016539440204</v>
      </c>
      <c r="O16" s="80" t="n">
        <f aca="false">((O6/100)*Chemring_Data!H54+((ABS(Chemring_Data!H31)+ABS(Chemring_Data!H34))-Chemring_Data!H28))/(Chemring_Data!H6+Chemring_Data!H56)</f>
        <v>11.467987804878</v>
      </c>
      <c r="P16" s="49" t="s">
        <v>483</v>
      </c>
    </row>
    <row r="17" customFormat="false" ht="6" hidden="false" customHeight="true" outlineLevel="0" collapsed="false"/>
    <row r="18" customFormat="false" ht="19.5" hidden="false" customHeight="true" outlineLevel="0" collapsed="false">
      <c r="A18" s="43" t="s">
        <v>484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customFormat="false" ht="15.75" hidden="false" customHeight="true" outlineLevel="0" collapsed="false">
      <c r="A19" s="44" t="s">
        <v>485</v>
      </c>
      <c r="B19" s="45" t="s">
        <v>486</v>
      </c>
      <c r="C19" s="86" t="s">
        <v>209</v>
      </c>
      <c r="D19" s="72" t="n">
        <f aca="false">(C6/Dunelm_Data!D15)/((Dunelm_Data!D15-Dunelm_Data!C15)/ABS(Dunelm_Data!C15))</f>
        <v>-119.070208728653</v>
      </c>
      <c r="E19" s="72" t="n">
        <f aca="false">(C6/Dunelm_Data!E15)/((Dunelm_Data!E15-Dunelm_Data!D15)/ABS(Dunelm_Data!D15))</f>
        <v>23.4937476316787</v>
      </c>
      <c r="F19" s="72" t="n">
        <f aca="false">(C6/Dunelm_Data!F15)/((Dunelm_Data!F15-Dunelm_Data!E15)/ABS(Dunelm_Data!E15))</f>
        <v>25.3698224852071</v>
      </c>
      <c r="G19" s="72" t="n">
        <f aca="false">(C6/Dunelm_Data!G15)/((Dunelm_Data!G15-Dunelm_Data!F15)/ABS(Dunelm_Data!F15))</f>
        <v>-84.577327842599</v>
      </c>
      <c r="H19" s="72" t="n">
        <f aca="false">(C6/Dunelm_Data!H15)/((Dunelm_Data!H15-Dunelm_Data!G15)/ABS(Dunelm_Data!G15))</f>
        <v>-1409.37081659973</v>
      </c>
      <c r="I19" s="47"/>
      <c r="J19" s="87" t="s">
        <v>209</v>
      </c>
      <c r="K19" s="73" t="n">
        <f aca="false">(K6/Chemring_Data!D14)/((Chemring_Data!D14-Chemring_Data!C14)/ABS(Chemring_Data!C14))</f>
        <v>67.9846938775511</v>
      </c>
      <c r="L19" s="73" t="n">
        <f aca="false">(L6/Chemring_Data!E14)/((Chemring_Data!E14-Chemring_Data!D14)/ABS(Chemring_Data!D14))</f>
        <v>224.136939010356</v>
      </c>
      <c r="M19" s="73" t="n">
        <f aca="false">(M6/Chemring_Data!F14)/((Chemring_Data!F14-Chemring_Data!E14)/ABS(Chemring_Data!E14))</f>
        <v>-127.73631840796</v>
      </c>
      <c r="N19" s="73" t="n">
        <f aca="false">(N6/Chemring_Data!G14)/((Chemring_Data!G14-Chemring_Data!F14)/ABS(Chemring_Data!F14))</f>
        <v>144.480994152047</v>
      </c>
      <c r="O19" s="73" t="n">
        <f aca="false">(O6/Chemring_Data!H14)/((Chemring_Data!H14-Chemring_Data!G14)/ABS(Chemring_Data!G14))</f>
        <v>66.8697123519459</v>
      </c>
      <c r="P19" s="49" t="s">
        <v>487</v>
      </c>
    </row>
    <row r="20" customFormat="false" ht="6" hidden="false" customHeight="true" outlineLevel="0" collapsed="false"/>
    <row r="21" customFormat="false" ht="19.5" hidden="false" customHeight="true" outlineLevel="0" collapsed="false">
      <c r="A21" s="43" t="s">
        <v>488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customFormat="false" ht="15.75" hidden="false" customHeight="true" outlineLevel="0" collapsed="false">
      <c r="A22" s="44" t="s">
        <v>489</v>
      </c>
      <c r="B22" s="45" t="s">
        <v>490</v>
      </c>
      <c r="C22" s="63" t="s">
        <v>209</v>
      </c>
      <c r="D22" s="61" t="n">
        <f aca="false">(D6-C6)/C6+Dunelm_Data!D55/C6</f>
        <v>0.189285714285714</v>
      </c>
      <c r="E22" s="61" t="n">
        <f aca="false">(E6-D6)/D6+Dunelm_Data!E55/D6</f>
        <v>0.553846153846154</v>
      </c>
      <c r="F22" s="61" t="n">
        <f aca="false">(F6-E6)/E6+Dunelm_Data!F55/E6</f>
        <v>0.282666666666667</v>
      </c>
      <c r="G22" s="61" t="n">
        <f aca="false">(G6-F6)/F6+Dunelm_Data!G55/F6</f>
        <v>-0.235142857142857</v>
      </c>
      <c r="H22" s="61" t="n">
        <f aca="false">(H6-G6)/G6+Dunelm_Data!H55/G6</f>
        <v>-0.0527272727272728</v>
      </c>
      <c r="I22" s="47"/>
      <c r="J22" s="64" t="s">
        <v>209</v>
      </c>
      <c r="K22" s="62" t="n">
        <f aca="false">(K6-J6)/J6+Chemring_Data!D55/J6</f>
        <v>0.171764705882353</v>
      </c>
      <c r="L22" s="62" t="n">
        <f aca="false">(L6-K6)/K6+Chemring_Data!E55/K6</f>
        <v>0.385128205128205</v>
      </c>
      <c r="M22" s="62" t="n">
        <f aca="false">(M6-L6)/L6+Chemring_Data!F55/L6</f>
        <v>0.00490566037735849</v>
      </c>
      <c r="N22" s="62" t="n">
        <f aca="false">(N6-M6)/M6+Chemring_Data!G55/M6</f>
        <v>0.162307692307692</v>
      </c>
      <c r="O22" s="62" t="n">
        <f aca="false">(O6-N6)/N6+Chemring_Data!H55/N6</f>
        <v>0.348813559322034</v>
      </c>
      <c r="P22" s="49" t="s">
        <v>491</v>
      </c>
    </row>
    <row r="23" customFormat="false" ht="15.75" hidden="false" customHeight="true" outlineLevel="0" collapsed="false">
      <c r="A23" s="65" t="s">
        <v>492</v>
      </c>
      <c r="B23" s="45" t="s">
        <v>493</v>
      </c>
      <c r="C23" s="67" t="n">
        <f aca="false">((Dunelm_Data!C39+Dunelm_Data!C42)/Dunelm_Data!C53*100)/C6</f>
        <v>0.114682146396715</v>
      </c>
      <c r="D23" s="67" t="n">
        <f aca="false">((Dunelm_Data!D39+Dunelm_Data!D42)/Dunelm_Data!D53*100)/C6</f>
        <v>0.158132956152758</v>
      </c>
      <c r="E23" s="67" t="n">
        <f aca="false">((Dunelm_Data!E39+Dunelm_Data!E42)/Dunelm_Data!E53*100)/C6</f>
        <v>0.119471527483397</v>
      </c>
      <c r="F23" s="67" t="n">
        <f aca="false">((Dunelm_Data!F39+Dunelm_Data!F42)/Dunelm_Data!F53*100)/C6</f>
        <v>0.161119729234241</v>
      </c>
      <c r="G23" s="67" t="n">
        <f aca="false">((Dunelm_Data!G39+Dunelm_Data!G42)/Dunelm_Data!G53*100)/C6</f>
        <v>0.155021216407355</v>
      </c>
      <c r="H23" s="67" t="n">
        <f aca="false">((Dunelm_Data!H39+Dunelm_Data!H42)/Dunelm_Data!H53*100)/C6</f>
        <v>0.142857142857143</v>
      </c>
      <c r="I23" s="47"/>
      <c r="J23" s="67" t="n">
        <f aca="false">((Chemring_Data!C42+Chemring_Data!C43)/Chemring_Data!C54*100)/J6</f>
        <v>0.0841529370001462</v>
      </c>
      <c r="K23" s="67" t="n">
        <f aca="false">((Chemring_Data!D42+Chemring_Data!D43)/Chemring_Data!D54*100)/K6</f>
        <v>0.0867738150462521</v>
      </c>
      <c r="L23" s="67" t="n">
        <f aca="false">((Chemring_Data!E42+Chemring_Data!E43)/Chemring_Data!E54*100)/L6</f>
        <v>0.0659670568595642</v>
      </c>
      <c r="M23" s="67" t="n">
        <f aca="false">((Chemring_Data!F42+Chemring_Data!F43)/Chemring_Data!F54*100)/M6</f>
        <v>0.0464673608778412</v>
      </c>
      <c r="N23" s="67" t="n">
        <f aca="false">((Chemring_Data!G42+Chemring_Data!G43)/Chemring_Data!G54*100)/N6</f>
        <v>0.0225154793920821</v>
      </c>
      <c r="O23" s="67" t="n">
        <f aca="false">((Chemring_Data!H42+Chemring_Data!H43)/Chemring_Data!H54*100)/O6</f>
        <v>0.0008531210009953</v>
      </c>
      <c r="P23" s="49" t="s">
        <v>494</v>
      </c>
    </row>
    <row r="24" customFormat="false" ht="6" hidden="false" customHeight="true" outlineLevel="0" collapsed="false"/>
    <row r="25" customFormat="false" ht="13.5" hidden="false" customHeight="true" outlineLevel="0" collapsed="false">
      <c r="A25" s="60" t="s">
        <v>495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</row>
  </sheetData>
  <mergeCells count="10">
    <mergeCell ref="A1:P1"/>
    <mergeCell ref="A2:P2"/>
    <mergeCell ref="C4:H4"/>
    <mergeCell ref="J4:O4"/>
    <mergeCell ref="A5:P5"/>
    <mergeCell ref="A8:P8"/>
    <mergeCell ref="A12:P12"/>
    <mergeCell ref="A18:P18"/>
    <mergeCell ref="A21:P21"/>
    <mergeCell ref="A25:P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2026-04-17T17:53:32Z</dcterms:created>
  <dc:creator>openpyxl</dc:creator>
  <dc:description/>
  <dc:language>en-US</dc:language>
  <cp:lastModifiedBy/>
  <dcterms:modified xsi:type="dcterms:W3CDTF">2026-04-17T18:02:10Z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